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NOMINA\Comprobantes de pago - peru\public\"/>
    </mc:Choice>
  </mc:AlternateContent>
  <xr:revisionPtr revIDLastSave="0" documentId="13_ncr:1_{63AE2D76-6F3D-49B9-86FB-F9C3E6FF8019}" xr6:coauthVersionLast="47" xr6:coauthVersionMax="47" xr10:uidLastSave="{00000000-0000-0000-0000-000000000000}"/>
  <bookViews>
    <workbookView xWindow="-108" yWindow="-108" windowWidth="23256" windowHeight="12456" tabRatio="876" xr2:uid="{00000000-000D-0000-FFFF-FFFF00000000}"/>
  </bookViews>
  <sheets>
    <sheet name="ESSALUD" sheetId="23" r:id="rId1"/>
  </sheets>
  <definedNames>
    <definedName name="DA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23" l="1"/>
  <c r="I2" i="23" l="1"/>
  <c r="I11" i="23" l="1"/>
  <c r="I14" i="23"/>
  <c r="I12" i="23"/>
  <c r="I3" i="23"/>
  <c r="I13" i="23"/>
  <c r="I4" i="23"/>
  <c r="I8" i="23"/>
  <c r="I18" i="23"/>
  <c r="I9" i="23"/>
  <c r="I6" i="23"/>
  <c r="I15" i="23"/>
  <c r="I7" i="23"/>
  <c r="I5" i="23"/>
  <c r="G19" i="23" l="1"/>
  <c r="I17" i="23"/>
  <c r="H19" i="23" l="1"/>
  <c r="I10" i="23"/>
  <c r="I19" i="23" s="1"/>
</calcChain>
</file>

<file path=xl/sharedStrings.xml><?xml version="1.0" encoding="utf-8"?>
<sst xmlns="http://schemas.openxmlformats.org/spreadsheetml/2006/main" count="94" uniqueCount="58">
  <si>
    <t>1007874085</t>
  </si>
  <si>
    <t>07874085</t>
  </si>
  <si>
    <t>1040703418</t>
  </si>
  <si>
    <t>40703418</t>
  </si>
  <si>
    <t>1044771836</t>
  </si>
  <si>
    <t>44771836</t>
  </si>
  <si>
    <t>1045191394</t>
  </si>
  <si>
    <t>45191394</t>
  </si>
  <si>
    <t>1046129072</t>
  </si>
  <si>
    <t>46129072</t>
  </si>
  <si>
    <t>1046722547</t>
  </si>
  <si>
    <t>46722547</t>
  </si>
  <si>
    <t>1047924040</t>
  </si>
  <si>
    <t>47924040</t>
  </si>
  <si>
    <t>1070165336</t>
  </si>
  <si>
    <t>70165336</t>
  </si>
  <si>
    <t>1070680748</t>
  </si>
  <si>
    <t>70680748</t>
  </si>
  <si>
    <t>1072251509</t>
  </si>
  <si>
    <t>72251509</t>
  </si>
  <si>
    <t>APORTE A ESSALUD</t>
  </si>
  <si>
    <t>42683912</t>
  </si>
  <si>
    <t>CREDITO EPS</t>
  </si>
  <si>
    <t>1077485287</t>
  </si>
  <si>
    <t>77485287</t>
  </si>
  <si>
    <t>2001252358</t>
  </si>
  <si>
    <t>001252358</t>
  </si>
  <si>
    <t>72836862</t>
  </si>
  <si>
    <t>76607245</t>
  </si>
  <si>
    <t>42115329</t>
  </si>
  <si>
    <t>ALVARO JAVIER ARIAS BAUTISTA</t>
  </si>
  <si>
    <t>ZULEMA BELINDA CADILLO BRITO</t>
  </si>
  <si>
    <t>STEFFANY FELICIA CAICEDO ROSADO</t>
  </si>
  <si>
    <t>FIORELLA GIOVANNA CHICHIZOLA CANALE</t>
  </si>
  <si>
    <t>VICTOR DANIEL FERNANDEZ CASTILLO</t>
  </si>
  <si>
    <t>RONALD FLOREZ SUAREZ</t>
  </si>
  <si>
    <t>GUILLERMO HENRY HIRAOKA MARINA</t>
  </si>
  <si>
    <t>CYNTHIA FIORELLA HUAMAN TORRES</t>
  </si>
  <si>
    <t>FELIX ALEJANDRO KOO RIOJA</t>
  </si>
  <si>
    <t>LAURA CAROLINA LIRA CANDIA</t>
  </si>
  <si>
    <t>JOSE NORBERT MARQUIS XXX</t>
  </si>
  <si>
    <t>JACKELINE NANCY MEJIA DOLORES</t>
  </si>
  <si>
    <t>MARÍA DEL CARMEN NEYRA ELLIOT</t>
  </si>
  <si>
    <t>ROCIO DE LOURDES RAMOS CORI</t>
  </si>
  <si>
    <t>LIZ VALERIA SOLANO CARRILLO</t>
  </si>
  <si>
    <t>SARA MILAGROS SOTO LLOCLLA</t>
  </si>
  <si>
    <t>Id</t>
  </si>
  <si>
    <t>CUC</t>
  </si>
  <si>
    <t>TipoDocumento</t>
  </si>
  <si>
    <t>NumeroDocumento</t>
  </si>
  <si>
    <t>Trabajador</t>
  </si>
  <si>
    <t>TOTAL APORTES EMPLEADOR</t>
  </si>
  <si>
    <t>DNI</t>
  </si>
  <si>
    <t>SI</t>
  </si>
  <si>
    <t>NO</t>
  </si>
  <si>
    <t>CARNET EXTRANJERÍA</t>
  </si>
  <si>
    <t>74026184</t>
  </si>
  <si>
    <t>JACKELINE TAMARA FAJARDO APOLAYA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</si>
</sst>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7"/>
      <color rgb="FFFFFFFF"/>
      <name val="Tahoma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Formata Regula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F4763"/>
        <bgColor rgb="FF1F4763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6" fillId="0" borderId="0"/>
    <xf numFmtId="43" fontId="2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2" fillId="0" borderId="0"/>
    <xf numFmtId="0" fontId="5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43" fontId="4" fillId="0" borderId="1" xfId="1" applyFont="1" applyFill="1" applyBorder="1"/>
    <xf numFmtId="2" fontId="4" fillId="0" borderId="1" xfId="1" applyNumberFormat="1" applyFont="1" applyFill="1" applyBorder="1"/>
    <xf numFmtId="0" fontId="3" fillId="2" borderId="2" xfId="0" applyFont="1" applyFill="1" applyBorder="1" applyAlignment="1">
      <alignment horizontal="center" vertical="top" wrapText="1" readingOrder="1"/>
    </xf>
    <xf numFmtId="2" fontId="3" fillId="2" borderId="2" xfId="0" applyNumberFormat="1" applyFont="1" applyFill="1" applyBorder="1" applyAlignment="1">
      <alignment horizontal="center" vertical="top" wrapText="1" readingOrder="1"/>
    </xf>
    <xf numFmtId="2" fontId="8" fillId="0" borderId="0" xfId="0" applyNumberFormat="1" applyFont="1"/>
    <xf numFmtId="0" fontId="9" fillId="0" borderId="1" xfId="0" applyFont="1" applyBorder="1"/>
  </cellXfs>
  <cellStyles count="12">
    <cellStyle name="Millares" xfId="1" builtinId="3"/>
    <cellStyle name="Millares 2" xfId="6" xr:uid="{00000000-0005-0000-0000-000001000000}"/>
    <cellStyle name="Millares 3" xfId="11" xr:uid="{00000000-0005-0000-0000-000002000000}"/>
    <cellStyle name="Millares 4" xfId="8" xr:uid="{00000000-0005-0000-0000-000003000000}"/>
    <cellStyle name="Normal" xfId="0" builtinId="0"/>
    <cellStyle name="Normal 10" xfId="10" xr:uid="{00000000-0005-0000-0000-000005000000}"/>
    <cellStyle name="Normal 2" xfId="2" xr:uid="{00000000-0005-0000-0000-000006000000}"/>
    <cellStyle name="Normal 2 2" xfId="3" xr:uid="{00000000-0005-0000-0000-000007000000}"/>
    <cellStyle name="Normal 3" xfId="5" xr:uid="{00000000-0005-0000-0000-000008000000}"/>
    <cellStyle name="Normal 3 2" xfId="9" xr:uid="{00000000-0005-0000-0000-000009000000}"/>
    <cellStyle name="Normal 4" xfId="7" xr:uid="{00000000-0005-0000-0000-00000A000000}"/>
    <cellStyle name="Normal 8" xfId="4" xr:uid="{00000000-0005-0000-0000-00000B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970BDE-867C-4A5B-84A8-553FA253C509}">
  <we:reference id="22ff87a5-132f-4d52-9e97-94d888e4dd91" version="3.1.0.0" store="EXCatalog" storeType="EXCatalog"/>
  <we:alternateReferences>
    <we:reference id="WA104380050" version="3.1.0.0" store="es-CO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I19"/>
  <sheetViews>
    <sheetView showGridLines="0" tabSelected="1" workbookViewId="0">
      <selection activeCell="B8" sqref="B8"/>
    </sheetView>
  </sheetViews>
  <sheetFormatPr baseColWidth="10" defaultColWidth="11.44140625" defaultRowHeight="14.4"/>
  <cols>
    <col min="5" max="5" width="30.88671875" customWidth="1"/>
    <col min="7" max="9" width="11.44140625" style="1"/>
  </cols>
  <sheetData>
    <row r="1" spans="1:9" ht="27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22</v>
      </c>
      <c r="G1" s="5" t="s">
        <v>20</v>
      </c>
      <c r="H1" s="5" t="s">
        <v>22</v>
      </c>
      <c r="I1" s="5" t="s">
        <v>51</v>
      </c>
    </row>
    <row r="2" spans="1:9">
      <c r="A2" s="2">
        <v>1</v>
      </c>
      <c r="B2" s="7" t="s">
        <v>0</v>
      </c>
      <c r="C2" s="2" t="s">
        <v>52</v>
      </c>
      <c r="D2" s="2" t="s">
        <v>1</v>
      </c>
      <c r="E2" s="7" t="s">
        <v>43</v>
      </c>
      <c r="F2" s="3" t="s">
        <v>53</v>
      </c>
      <c r="G2" s="3">
        <v>270.81</v>
      </c>
      <c r="H2" s="3">
        <v>90.269999999999982</v>
      </c>
      <c r="I2" s="3">
        <f>+G2+H2</f>
        <v>361.08</v>
      </c>
    </row>
    <row r="3" spans="1:9">
      <c r="A3" s="2">
        <v>2</v>
      </c>
      <c r="B3" s="7" t="s">
        <v>2</v>
      </c>
      <c r="C3" s="2" t="s">
        <v>52</v>
      </c>
      <c r="D3" s="2" t="s">
        <v>3</v>
      </c>
      <c r="E3" s="7" t="s">
        <v>33</v>
      </c>
      <c r="F3" s="3" t="s">
        <v>53</v>
      </c>
      <c r="G3" s="3">
        <v>249.75000000000003</v>
      </c>
      <c r="H3" s="3">
        <v>83.249999999999972</v>
      </c>
      <c r="I3" s="3">
        <f t="shared" ref="I3:I18" si="0">+G3+H3</f>
        <v>333</v>
      </c>
    </row>
    <row r="4" spans="1:9">
      <c r="A4" s="2">
        <v>3</v>
      </c>
      <c r="B4" s="7" t="s">
        <v>4</v>
      </c>
      <c r="C4" s="2" t="s">
        <v>52</v>
      </c>
      <c r="D4" s="2" t="s">
        <v>5</v>
      </c>
      <c r="E4" s="7" t="s">
        <v>35</v>
      </c>
      <c r="F4" s="3" t="s">
        <v>53</v>
      </c>
      <c r="G4" s="3">
        <v>596.83500000000004</v>
      </c>
      <c r="H4" s="3">
        <v>198.94499999999994</v>
      </c>
      <c r="I4" s="3">
        <f t="shared" si="0"/>
        <v>795.78</v>
      </c>
    </row>
    <row r="5" spans="1:9">
      <c r="A5" s="2">
        <v>4</v>
      </c>
      <c r="B5" s="7" t="s">
        <v>6</v>
      </c>
      <c r="C5" s="2" t="s">
        <v>52</v>
      </c>
      <c r="D5" s="2" t="s">
        <v>7</v>
      </c>
      <c r="E5" s="7" t="s">
        <v>30</v>
      </c>
      <c r="F5" s="3" t="s">
        <v>53</v>
      </c>
      <c r="G5" s="3">
        <v>986.51250000000005</v>
      </c>
      <c r="H5" s="3">
        <v>328.83749999999986</v>
      </c>
      <c r="I5" s="3">
        <f t="shared" si="0"/>
        <v>1315.35</v>
      </c>
    </row>
    <row r="6" spans="1:9">
      <c r="A6" s="2">
        <v>5</v>
      </c>
      <c r="B6" s="7" t="s">
        <v>8</v>
      </c>
      <c r="C6" s="2" t="s">
        <v>52</v>
      </c>
      <c r="D6" s="2" t="s">
        <v>9</v>
      </c>
      <c r="E6" s="7" t="s">
        <v>39</v>
      </c>
      <c r="F6" s="3" t="s">
        <v>53</v>
      </c>
      <c r="G6" s="3">
        <v>261.29250000000002</v>
      </c>
      <c r="H6" s="3">
        <v>87.097499999999968</v>
      </c>
      <c r="I6" s="3">
        <f t="shared" si="0"/>
        <v>348.39</v>
      </c>
    </row>
    <row r="7" spans="1:9">
      <c r="A7" s="2">
        <v>6</v>
      </c>
      <c r="B7" s="7" t="s">
        <v>10</v>
      </c>
      <c r="C7" s="2" t="s">
        <v>52</v>
      </c>
      <c r="D7" s="2" t="s">
        <v>11</v>
      </c>
      <c r="E7" s="7" t="s">
        <v>38</v>
      </c>
      <c r="F7" s="3" t="s">
        <v>53</v>
      </c>
      <c r="G7" s="3">
        <v>386.97750000000002</v>
      </c>
      <c r="H7" s="3">
        <v>128.99250000000001</v>
      </c>
      <c r="I7" s="3">
        <f t="shared" si="0"/>
        <v>515.97</v>
      </c>
    </row>
    <row r="8" spans="1:9">
      <c r="A8" s="2">
        <v>7</v>
      </c>
      <c r="B8" s="7" t="s">
        <v>12</v>
      </c>
      <c r="C8" s="2" t="s">
        <v>52</v>
      </c>
      <c r="D8" s="2" t="s">
        <v>13</v>
      </c>
      <c r="E8" s="7" t="s">
        <v>42</v>
      </c>
      <c r="F8" s="3" t="s">
        <v>53</v>
      </c>
      <c r="G8" s="3">
        <v>442.26000000000005</v>
      </c>
      <c r="H8" s="3">
        <v>147.4199999999999</v>
      </c>
      <c r="I8" s="3">
        <f t="shared" si="0"/>
        <v>589.67999999999995</v>
      </c>
    </row>
    <row r="9" spans="1:9">
      <c r="A9" s="2">
        <v>8</v>
      </c>
      <c r="B9" s="7" t="s">
        <v>14</v>
      </c>
      <c r="C9" s="2" t="s">
        <v>52</v>
      </c>
      <c r="D9" s="2" t="s">
        <v>15</v>
      </c>
      <c r="E9" s="7" t="s">
        <v>34</v>
      </c>
      <c r="F9" s="3" t="s">
        <v>53</v>
      </c>
      <c r="G9" s="3">
        <v>276.6825</v>
      </c>
      <c r="H9" s="3">
        <v>92.227499999999964</v>
      </c>
      <c r="I9" s="3">
        <f t="shared" si="0"/>
        <v>368.90999999999997</v>
      </c>
    </row>
    <row r="10" spans="1:9">
      <c r="A10" s="2">
        <v>9</v>
      </c>
      <c r="B10" s="7" t="s">
        <v>16</v>
      </c>
      <c r="C10" s="2" t="s">
        <v>52</v>
      </c>
      <c r="D10" s="2" t="s">
        <v>17</v>
      </c>
      <c r="E10" s="7" t="s">
        <v>44</v>
      </c>
      <c r="F10" s="3" t="s">
        <v>53</v>
      </c>
      <c r="G10" s="3">
        <v>421.06500000000005</v>
      </c>
      <c r="H10" s="3">
        <v>140.3549999999999</v>
      </c>
      <c r="I10" s="3">
        <f t="shared" si="0"/>
        <v>561.41999999999996</v>
      </c>
    </row>
    <row r="11" spans="1:9" ht="14.25" customHeight="1">
      <c r="A11" s="2">
        <v>10</v>
      </c>
      <c r="B11" s="7" t="s">
        <v>18</v>
      </c>
      <c r="C11" s="2" t="s">
        <v>52</v>
      </c>
      <c r="D11" s="2" t="s">
        <v>19</v>
      </c>
      <c r="E11" s="7" t="s">
        <v>37</v>
      </c>
      <c r="F11" s="3" t="s">
        <v>54</v>
      </c>
      <c r="G11" s="3">
        <v>426.96</v>
      </c>
      <c r="H11" s="3">
        <v>0</v>
      </c>
      <c r="I11" s="3">
        <f t="shared" si="0"/>
        <v>426.96</v>
      </c>
    </row>
    <row r="12" spans="1:9">
      <c r="A12" s="2">
        <v>11</v>
      </c>
      <c r="B12" s="7" t="s">
        <v>23</v>
      </c>
      <c r="C12" s="2" t="s">
        <v>52</v>
      </c>
      <c r="D12" s="2" t="s">
        <v>24</v>
      </c>
      <c r="E12" s="7" t="s">
        <v>31</v>
      </c>
      <c r="F12" s="3" t="s">
        <v>53</v>
      </c>
      <c r="G12" s="3">
        <v>144.58500000000001</v>
      </c>
      <c r="H12" s="3">
        <v>48.194999999999993</v>
      </c>
      <c r="I12" s="3">
        <f t="shared" si="0"/>
        <v>192.78</v>
      </c>
    </row>
    <row r="13" spans="1:9">
      <c r="A13" s="2">
        <v>12</v>
      </c>
      <c r="B13" s="7" t="s">
        <v>25</v>
      </c>
      <c r="C13" s="2" t="s">
        <v>55</v>
      </c>
      <c r="D13" s="2" t="s">
        <v>26</v>
      </c>
      <c r="E13" s="7" t="s">
        <v>40</v>
      </c>
      <c r="F13" s="3" t="s">
        <v>53</v>
      </c>
      <c r="G13" s="3">
        <v>448.47</v>
      </c>
      <c r="H13" s="3">
        <v>149.4899999999999</v>
      </c>
      <c r="I13" s="3">
        <f t="shared" si="0"/>
        <v>597.95999999999992</v>
      </c>
    </row>
    <row r="14" spans="1:9">
      <c r="A14" s="2">
        <v>13</v>
      </c>
      <c r="B14" s="7" t="s">
        <v>29</v>
      </c>
      <c r="C14" s="2" t="s">
        <v>52</v>
      </c>
      <c r="D14" s="2" t="s">
        <v>29</v>
      </c>
      <c r="E14" s="7" t="s">
        <v>45</v>
      </c>
      <c r="F14" s="3" t="s">
        <v>53</v>
      </c>
      <c r="G14" s="3">
        <v>208.57500000000002</v>
      </c>
      <c r="H14" s="3">
        <v>69.524999999999949</v>
      </c>
      <c r="I14" s="3">
        <f t="shared" si="0"/>
        <v>278.09999999999997</v>
      </c>
    </row>
    <row r="15" spans="1:9">
      <c r="A15" s="2">
        <v>14</v>
      </c>
      <c r="B15" s="7" t="s">
        <v>21</v>
      </c>
      <c r="C15" s="2" t="s">
        <v>52</v>
      </c>
      <c r="D15" s="2" t="s">
        <v>21</v>
      </c>
      <c r="E15" s="7" t="s">
        <v>36</v>
      </c>
      <c r="F15" s="3" t="s">
        <v>53</v>
      </c>
      <c r="G15" s="3">
        <v>389.34000000000003</v>
      </c>
      <c r="H15" s="3">
        <v>129.77999999999997</v>
      </c>
      <c r="I15" s="3">
        <f t="shared" si="0"/>
        <v>519.12</v>
      </c>
    </row>
    <row r="16" spans="1:9">
      <c r="A16" s="2">
        <v>15</v>
      </c>
      <c r="B16" s="7" t="s">
        <v>27</v>
      </c>
      <c r="C16" s="2" t="s">
        <v>52</v>
      </c>
      <c r="D16" s="2" t="s">
        <v>27</v>
      </c>
      <c r="E16" s="7" t="s">
        <v>41</v>
      </c>
      <c r="F16" s="3" t="s">
        <v>53</v>
      </c>
      <c r="G16" s="3">
        <v>179.01000000000002</v>
      </c>
      <c r="H16" s="3">
        <v>59.669999999999959</v>
      </c>
      <c r="I16" s="3">
        <f t="shared" si="0"/>
        <v>238.67999999999998</v>
      </c>
    </row>
    <row r="17" spans="1:9">
      <c r="A17" s="2">
        <v>16</v>
      </c>
      <c r="B17" s="7" t="s">
        <v>28</v>
      </c>
      <c r="C17" s="2" t="s">
        <v>52</v>
      </c>
      <c r="D17" s="2" t="s">
        <v>28</v>
      </c>
      <c r="E17" s="7" t="s">
        <v>32</v>
      </c>
      <c r="F17" s="3" t="s">
        <v>53</v>
      </c>
      <c r="G17" s="3">
        <v>0</v>
      </c>
      <c r="H17" s="3">
        <v>0</v>
      </c>
      <c r="I17" s="3">
        <f t="shared" si="0"/>
        <v>0</v>
      </c>
    </row>
    <row r="18" spans="1:9">
      <c r="A18" s="2">
        <v>17</v>
      </c>
      <c r="B18" s="7" t="s">
        <v>56</v>
      </c>
      <c r="C18" s="2" t="s">
        <v>52</v>
      </c>
      <c r="D18" s="2" t="s">
        <v>56</v>
      </c>
      <c r="E18" s="7" t="s">
        <v>57</v>
      </c>
      <c r="F18" s="3" t="s">
        <v>53</v>
      </c>
      <c r="G18" s="3">
        <v>0</v>
      </c>
      <c r="H18" s="3">
        <v>0</v>
      </c>
      <c r="I18" s="3">
        <f t="shared" si="0"/>
        <v>0</v>
      </c>
    </row>
    <row r="19" spans="1:9">
      <c r="G19" s="6">
        <f>SUM(G2:G18)</f>
        <v>5689.1250000000009</v>
      </c>
      <c r="H19" s="6">
        <f>SUM(H2:H18)</f>
        <v>1754.0549999999994</v>
      </c>
      <c r="I19" s="6">
        <f>SUM(I2:I18)</f>
        <v>7443.18</v>
      </c>
    </row>
  </sheetData>
  <conditionalFormatting sqref="B2:B17">
    <cfRule type="duplicateValues" dxfId="1" priority="9"/>
  </conditionalFormatting>
  <conditionalFormatting sqref="B18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46485-dadf-402b-946d-670a8d5419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26ECBB2595046A1C872549E0FCC00" ma:contentTypeVersion="18" ma:contentTypeDescription="Create a new document." ma:contentTypeScope="" ma:versionID="47ec6059f4bd9e03978e7c4494a2d022">
  <xsd:schema xmlns:xsd="http://www.w3.org/2001/XMLSchema" xmlns:xs="http://www.w3.org/2001/XMLSchema" xmlns:p="http://schemas.microsoft.com/office/2006/metadata/properties" xmlns:ns3="45746485-dadf-402b-946d-670a8d5419c5" xmlns:ns4="3144bafa-e542-4cda-980a-0dcf7db8d145" targetNamespace="http://schemas.microsoft.com/office/2006/metadata/properties" ma:root="true" ma:fieldsID="ba14471d06b067e3716acf79f7203986" ns3:_="" ns4:_="">
    <xsd:import namespace="45746485-dadf-402b-946d-670a8d5419c5"/>
    <xsd:import namespace="3144bafa-e542-4cda-980a-0dcf7db8d1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46485-dadf-402b-946d-670a8d541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4bafa-e542-4cda-980a-0dcf7db8d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E7E3D2-6B2A-409C-9F70-ED5060252723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144bafa-e542-4cda-980a-0dcf7db8d145"/>
    <ds:schemaRef ds:uri="45746485-dadf-402b-946d-670a8d5419c5"/>
  </ds:schemaRefs>
</ds:datastoreItem>
</file>

<file path=customXml/itemProps2.xml><?xml version="1.0" encoding="utf-8"?>
<ds:datastoreItem xmlns:ds="http://schemas.openxmlformats.org/officeDocument/2006/customXml" ds:itemID="{6E5956B3-CE36-4911-8C78-281CF57113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8EA648-C4E2-42AF-BDDB-D64ED3212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46485-dadf-402b-946d-670a8d5419c5"/>
    <ds:schemaRef ds:uri="3144bafa-e542-4cda-980a-0dcf7db8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ESSALUD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Arambulo</dc:creator>
  <cp:keywords/>
  <dc:description/>
  <cp:lastModifiedBy>Cristian Parada</cp:lastModifiedBy>
  <cp:revision/>
  <cp:lastPrinted>2026-06-02T00:26:27Z</cp:lastPrinted>
  <dcterms:created xsi:type="dcterms:W3CDTF">2022-07-26T22:34:53Z</dcterms:created>
  <dcterms:modified xsi:type="dcterms:W3CDTF">2026-06-22T19:23:05Z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