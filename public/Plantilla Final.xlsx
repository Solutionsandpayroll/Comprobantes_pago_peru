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ristian\Documents\SYP\Proyetos automatizacion 2\NOMINA\Comprobantes de pago - peru\public\"/>
    </mc:Choice>
  </mc:AlternateContent>
  <xr:revisionPtr revIDLastSave="0" documentId="13_ncr:1_{684A1576-7319-4A55-B6CF-B28F87372A22}" xr6:coauthVersionLast="47" xr6:coauthVersionMax="47" xr10:uidLastSave="{00000000-0000-0000-0000-000000000000}"/>
  <bookViews>
    <workbookView xWindow="-108" yWindow="-108" windowWidth="23256" windowHeight="12456" tabRatio="876" xr2:uid="{00000000-000D-0000-FFFF-FFFF00000000}"/>
  </bookViews>
  <sheets>
    <sheet name="PS1" sheetId="1" r:id="rId1"/>
  </sheets>
  <definedNames>
    <definedName name="_xlnm.Print_Area" localSheetId="0">'PS1'!$A$1:$L$36</definedName>
    <definedName name="DA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G12" i="1" l="1"/>
  <c r="H12" i="1"/>
  <c r="G13" i="1"/>
  <c r="D14" i="1" l="1"/>
  <c r="C14" i="1"/>
  <c r="D13" i="1"/>
  <c r="C13" i="1"/>
  <c r="H2" i="1" l="1"/>
  <c r="J2" i="1"/>
  <c r="J3" i="1"/>
  <c r="F3" i="1"/>
  <c r="K8" i="1"/>
  <c r="E8" i="1"/>
  <c r="B8" i="1"/>
  <c r="A8" i="1"/>
  <c r="I6" i="1"/>
  <c r="E6" i="1"/>
  <c r="B6" i="1"/>
  <c r="H3" i="1" l="1"/>
  <c r="D12" i="1"/>
  <c r="D26" i="1" s="1"/>
  <c r="C12" i="1"/>
  <c r="L2" i="1" l="1"/>
  <c r="I8" i="1"/>
  <c r="C8" i="1"/>
  <c r="H26" i="1" l="1"/>
  <c r="L26" i="1" l="1"/>
  <c r="L12" i="1" l="1"/>
  <c r="L13" i="1"/>
  <c r="L25" i="1" l="1"/>
</calcChain>
</file>

<file path=xl/sharedStrings.xml><?xml version="1.0" encoding="utf-8"?>
<sst xmlns="http://schemas.openxmlformats.org/spreadsheetml/2006/main" count="104" uniqueCount="89">
  <si>
    <t>BOLETA DE PAGO</t>
  </si>
  <si>
    <t>EMPLEADO</t>
  </si>
  <si>
    <t># AG ESSALUD</t>
  </si>
  <si>
    <t>CODIGO EMPRESA</t>
  </si>
  <si>
    <t>EMPRESA</t>
  </si>
  <si>
    <t>CLARKE, MODET &amp; CO. PERU S.A.C.</t>
  </si>
  <si>
    <t>R.U.C.</t>
  </si>
  <si>
    <t>20256396000</t>
  </si>
  <si>
    <t>MES</t>
  </si>
  <si>
    <t>AÑO</t>
  </si>
  <si>
    <t>F. INGRESO</t>
  </si>
  <si>
    <t>#</t>
  </si>
  <si>
    <t>1007874085</t>
  </si>
  <si>
    <t>07874085</t>
  </si>
  <si>
    <t>PERIODO</t>
  </si>
  <si>
    <t>DEL</t>
  </si>
  <si>
    <t>AL</t>
  </si>
  <si>
    <t>F. RETIRO</t>
  </si>
  <si>
    <t>1040703418</t>
  </si>
  <si>
    <t>40703418</t>
  </si>
  <si>
    <t>1044771836</t>
  </si>
  <si>
    <t>44771836</t>
  </si>
  <si>
    <t>CÓDIGO</t>
  </si>
  <si>
    <t>NOMBRES Y APELLIDOS</t>
  </si>
  <si>
    <t>CARGO</t>
  </si>
  <si>
    <t>AREA</t>
  </si>
  <si>
    <t>1045191394</t>
  </si>
  <si>
    <t>45191394</t>
  </si>
  <si>
    <t>1046129072</t>
  </si>
  <si>
    <t>46129072</t>
  </si>
  <si>
    <t>D.N.I.</t>
  </si>
  <si>
    <t>CUSPP AFP</t>
  </si>
  <si>
    <t>SALARIO</t>
  </si>
  <si>
    <t>MONEDA</t>
  </si>
  <si>
    <t>A.F.P.</t>
  </si>
  <si>
    <t>1046722547</t>
  </si>
  <si>
    <t>46722547</t>
  </si>
  <si>
    <t>SOL</t>
  </si>
  <si>
    <t>1047924040</t>
  </si>
  <si>
    <t>47924040</t>
  </si>
  <si>
    <t>1070165336</t>
  </si>
  <si>
    <t>N/A</t>
  </si>
  <si>
    <t>70165336</t>
  </si>
  <si>
    <t>REMUNERACIONES</t>
  </si>
  <si>
    <t>DESCUENTOS TRABAJADOR</t>
  </si>
  <si>
    <t>APORTACIONES EMPLEADOR</t>
  </si>
  <si>
    <t>1070680748</t>
  </si>
  <si>
    <t>70680748</t>
  </si>
  <si>
    <t>CONCEPTO</t>
  </si>
  <si>
    <t>HORAS</t>
  </si>
  <si>
    <t>VALOR</t>
  </si>
  <si>
    <t>1072251509</t>
  </si>
  <si>
    <t>72251509</t>
  </si>
  <si>
    <t>A000 SUELDO BASICO</t>
  </si>
  <si>
    <t>R000 RETENCION IMPUESTO A LA RENTA</t>
  </si>
  <si>
    <t>APORTE A ESSALUD</t>
  </si>
  <si>
    <t>42683912</t>
  </si>
  <si>
    <t>309631GHMAI4</t>
  </si>
  <si>
    <t>A012 ASIGNACION FAMILIAR</t>
  </si>
  <si>
    <t>S006 DESCUENTO EPS</t>
  </si>
  <si>
    <t>CREDITO EPS</t>
  </si>
  <si>
    <t>1077485287</t>
  </si>
  <si>
    <t>655610ZCBIT4</t>
  </si>
  <si>
    <t>77485287</t>
  </si>
  <si>
    <t>D013 AUXILIO DE MOVILIDAD</t>
  </si>
  <si>
    <t>2001252358</t>
  </si>
  <si>
    <t>001252358</t>
  </si>
  <si>
    <t>72836862</t>
  </si>
  <si>
    <t>663680JMDIO1</t>
  </si>
  <si>
    <t>76607245</t>
  </si>
  <si>
    <t>42115329</t>
  </si>
  <si>
    <t>TOTAL APORTE EMPLEADOR</t>
  </si>
  <si>
    <t>REMUNERACION TOTAL</t>
  </si>
  <si>
    <t>DESCUENTOS TOTALES</t>
  </si>
  <si>
    <t>REMUNERACION NETA</t>
  </si>
  <si>
    <t>REPRESENTANTE LEGAL</t>
  </si>
  <si>
    <t>RECIBI CONFORME TRABAJADOR</t>
  </si>
  <si>
    <t>260130RRCOI9</t>
  </si>
  <si>
    <t>595200FCCCA8</t>
  </si>
  <si>
    <t>621441RFSRR2</t>
  </si>
  <si>
    <t>322431AABAT4</t>
  </si>
  <si>
    <t>628890LLCAD9</t>
  </si>
  <si>
    <t>632311FKROJ0</t>
  </si>
  <si>
    <t>FACILITIES</t>
  </si>
  <si>
    <t>641640MNERI3</t>
  </si>
  <si>
    <t>640621VFCNT9</t>
  </si>
  <si>
    <t>631390CHTMR2</t>
  </si>
  <si>
    <t>627991JMXQX0</t>
  </si>
  <si>
    <t>74026184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</si>
</sst>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1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2"/>
      <color indexed="8"/>
      <name val="Arial"/>
      <family val="2"/>
    </font>
    <font>
      <sz val="11"/>
      <name val="Calibri"/>
      <family val="2"/>
    </font>
    <font>
      <sz val="10"/>
      <name val="Formata Regula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1">
    <xf numFmtId="0" fontId="0" fillId="0" borderId="0"/>
    <xf numFmtId="0" fontId="4" fillId="0" borderId="0"/>
    <xf numFmtId="0" fontId="8" fillId="0" borderId="0"/>
    <xf numFmtId="0" fontId="8" fillId="0" borderId="0"/>
    <xf numFmtId="0" fontId="9" fillId="0" borderId="0"/>
    <xf numFmtId="43" fontId="4" fillId="0" borderId="0" applyFont="0" applyFill="0" applyBorder="0" applyAlignment="0" applyProtection="0"/>
    <xf numFmtId="0" fontId="10" fillId="0" borderId="0"/>
    <xf numFmtId="43" fontId="8" fillId="0" borderId="0" applyFont="0" applyFill="0" applyBorder="0" applyAlignment="0" applyProtection="0"/>
    <xf numFmtId="0" fontId="4" fillId="0" borderId="0"/>
    <xf numFmtId="0" fontId="8" fillId="0" borderId="0"/>
    <xf numFmtId="43" fontId="4" fillId="0" borderId="0" applyFont="0" applyFill="0" applyBorder="0" applyAlignment="0" applyProtection="0"/>
  </cellStyleXfs>
  <cellXfs count="65">
    <xf numFmtId="0" fontId="0" fillId="0" borderId="0" xfId="0"/>
    <xf numFmtId="0" fontId="2" fillId="3" borderId="0" xfId="0" applyFont="1" applyFill="1"/>
    <xf numFmtId="0" fontId="2" fillId="3" borderId="1" xfId="0" quotePrefix="1" applyFont="1" applyFill="1" applyBorder="1"/>
    <xf numFmtId="164" fontId="2" fillId="3" borderId="1" xfId="0" applyNumberFormat="1" applyFont="1" applyFill="1" applyBorder="1" applyAlignment="1">
      <alignment horizontal="left"/>
    </xf>
    <xf numFmtId="0" fontId="2" fillId="3" borderId="5" xfId="0" applyFont="1" applyFill="1" applyBorder="1"/>
    <xf numFmtId="2" fontId="2" fillId="3" borderId="1" xfId="0" applyNumberFormat="1" applyFont="1" applyFill="1" applyBorder="1"/>
    <xf numFmtId="0" fontId="3" fillId="3" borderId="13" xfId="0" applyFont="1" applyFill="1" applyBorder="1"/>
    <xf numFmtId="0" fontId="3" fillId="3" borderId="3" xfId="0" applyFont="1" applyFill="1" applyBorder="1"/>
    <xf numFmtId="0" fontId="3" fillId="3" borderId="14" xfId="0" applyFont="1" applyFill="1" applyBorder="1"/>
    <xf numFmtId="0" fontId="3" fillId="3" borderId="8" xfId="0" applyFont="1" applyFill="1" applyBorder="1"/>
    <xf numFmtId="0" fontId="3" fillId="3" borderId="15" xfId="0" applyFont="1" applyFill="1" applyBorder="1"/>
    <xf numFmtId="2" fontId="2" fillId="3" borderId="0" xfId="0" applyNumberFormat="1" applyFont="1" applyFill="1"/>
    <xf numFmtId="2" fontId="3" fillId="3" borderId="3" xfId="0" applyNumberFormat="1" applyFont="1" applyFill="1" applyBorder="1"/>
    <xf numFmtId="0" fontId="6" fillId="3" borderId="0" xfId="0" applyFont="1" applyFill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0" fontId="3" fillId="3" borderId="12" xfId="0" applyFont="1" applyFill="1" applyBorder="1"/>
    <xf numFmtId="2" fontId="3" fillId="3" borderId="2" xfId="0" applyNumberFormat="1" applyFont="1" applyFill="1" applyBorder="1"/>
    <xf numFmtId="0" fontId="7" fillId="2" borderId="16" xfId="0" applyFont="1" applyFill="1" applyBorder="1" applyAlignment="1">
      <alignment horizontal="center" vertical="center"/>
    </xf>
    <xf numFmtId="0" fontId="2" fillId="3" borderId="16" xfId="0" applyFont="1" applyFill="1" applyBorder="1"/>
    <xf numFmtId="0" fontId="6" fillId="3" borderId="16" xfId="0" applyFont="1" applyFill="1" applyBorder="1"/>
    <xf numFmtId="0" fontId="0" fillId="0" borderId="16" xfId="0" applyBorder="1"/>
    <xf numFmtId="14" fontId="2" fillId="0" borderId="1" xfId="0" quotePrefix="1" applyNumberFormat="1" applyFont="1" applyBorder="1"/>
    <xf numFmtId="14" fontId="2" fillId="0" borderId="1" xfId="0" applyNumberFormat="1" applyFont="1" applyBorder="1" applyAlignment="1">
      <alignment horizontal="left"/>
    </xf>
    <xf numFmtId="0" fontId="2" fillId="0" borderId="1" xfId="0" quotePrefix="1" applyFont="1" applyBorder="1"/>
    <xf numFmtId="0" fontId="3" fillId="3" borderId="2" xfId="0" applyFont="1" applyFill="1" applyBorder="1"/>
    <xf numFmtId="0" fontId="2" fillId="3" borderId="2" xfId="0" applyFont="1" applyFill="1" applyBorder="1"/>
    <xf numFmtId="0" fontId="5" fillId="3" borderId="12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0" fontId="2" fillId="3" borderId="8" xfId="0" applyFont="1" applyFill="1" applyBorder="1"/>
    <xf numFmtId="0" fontId="2" fillId="3" borderId="7" xfId="0" applyFont="1" applyFill="1" applyBorder="1"/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3" borderId="12" xfId="0" applyFont="1" applyFill="1" applyBorder="1"/>
    <xf numFmtId="0" fontId="3" fillId="3" borderId="3" xfId="0" applyFont="1" applyFill="1" applyBorder="1"/>
    <xf numFmtId="2" fontId="6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3" borderId="6" xfId="0" applyFont="1" applyFill="1" applyBorder="1"/>
    <xf numFmtId="0" fontId="3" fillId="3" borderId="2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2" fillId="3" borderId="1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</cellXfs>
  <cellStyles count="11">
    <cellStyle name="Millares 2" xfId="5" xr:uid="{00000000-0005-0000-0000-000001000000}"/>
    <cellStyle name="Millares 3" xfId="10" xr:uid="{00000000-0005-0000-0000-000002000000}"/>
    <cellStyle name="Millares 4" xfId="7" xr:uid="{00000000-0005-0000-0000-000003000000}"/>
    <cellStyle name="Normal" xfId="0" builtinId="0"/>
    <cellStyle name="Normal 10" xfId="9" xr:uid="{00000000-0005-0000-0000-000005000000}"/>
    <cellStyle name="Normal 2" xfId="1" xr:uid="{00000000-0005-0000-0000-000006000000}"/>
    <cellStyle name="Normal 2 2" xfId="2" xr:uid="{00000000-0005-0000-0000-000007000000}"/>
    <cellStyle name="Normal 3" xfId="4" xr:uid="{00000000-0005-0000-0000-000008000000}"/>
    <cellStyle name="Normal 3 2" xfId="8" xr:uid="{00000000-0005-0000-0000-000009000000}"/>
    <cellStyle name="Normal 4" xfId="6" xr:uid="{00000000-0005-0000-0000-00000A000000}"/>
    <cellStyle name="Normal 8" xfId="3" xr:uid="{00000000-0005-0000-0000-00000B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64F34BB-ECED-B16E-262C-7B2C11DB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9032876"/>
          <a:ext cx="3000374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72C555-1A54-14A2-FE33-DB9C6294B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72976" y="27231"/>
          <a:ext cx="1533524" cy="647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970BDE-867C-4A5B-84A8-553FA253C509}">
  <we:reference id="22ff87a5-132f-4d52-9e97-94d888e4dd91" version="3.1.0.0" store="EXCatalog" storeType="EXCatalog"/>
  <we:alternateReferences>
    <we:reference id="WA104380050" version="3.1.0.0" store="es-CO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">
    <tabColor rgb="FF92D050"/>
    <pageSetUpPr fitToPage="1"/>
  </sheetPr>
  <dimension ref="A1:Z36"/>
  <sheetViews>
    <sheetView tabSelected="1" view="pageBreakPreview" zoomScale="70" zoomScaleNormal="69" zoomScaleSheetLayoutView="70" workbookViewId="0">
      <selection activeCell="P2" sqref="P2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29"/>
      <c r="W1" s="21" t="s">
        <v>1</v>
      </c>
      <c r="X1" s="21" t="s">
        <v>2</v>
      </c>
      <c r="Y1" s="21" t="s">
        <v>3</v>
      </c>
    </row>
    <row r="2" spans="1:26" ht="24.9" customHeight="1">
      <c r="A2" s="37" t="s">
        <v>4</v>
      </c>
      <c r="B2" s="38" t="s">
        <v>5</v>
      </c>
      <c r="C2" s="39"/>
      <c r="D2" s="40"/>
      <c r="E2" s="14" t="s">
        <v>6</v>
      </c>
      <c r="F2" s="2" t="s">
        <v>7</v>
      </c>
      <c r="G2" s="14" t="s">
        <v>8</v>
      </c>
      <c r="H2" s="25" t="e">
        <f>#REF!</f>
        <v>#REF!</v>
      </c>
      <c r="I2" s="14" t="s">
        <v>9</v>
      </c>
      <c r="J2" s="26" t="e">
        <f>#REF!</f>
        <v>#REF!</v>
      </c>
      <c r="K2" s="14" t="s">
        <v>10</v>
      </c>
      <c r="L2" s="3" t="e">
        <f>VLOOKUP(A6,#REF!,11,FALSE)</f>
        <v>#REF!</v>
      </c>
      <c r="O2" s="1" t="s">
        <v>11</v>
      </c>
      <c r="P2" s="1">
        <v>1</v>
      </c>
      <c r="W2" s="22" t="s">
        <v>12</v>
      </c>
      <c r="X2" s="22" t="s">
        <v>77</v>
      </c>
      <c r="Y2" s="22" t="s">
        <v>13</v>
      </c>
    </row>
    <row r="3" spans="1:26" ht="24.9" customHeight="1">
      <c r="A3" s="37"/>
      <c r="B3" s="41"/>
      <c r="C3" s="42"/>
      <c r="D3" s="43"/>
      <c r="E3" s="14" t="s">
        <v>14</v>
      </c>
      <c r="F3" s="27" t="e">
        <f>VLOOKUP($A$6,#REF!,16,FALSE)</f>
        <v>#REF!</v>
      </c>
      <c r="G3" s="14" t="s">
        <v>15</v>
      </c>
      <c r="H3" s="27" t="e">
        <f>VLOOKUP($A$6,#REF!,18,FALSE)</f>
        <v>#REF!</v>
      </c>
      <c r="I3" s="14" t="s">
        <v>16</v>
      </c>
      <c r="J3" s="25" t="e">
        <f>VLOOKUP($A$6,#REF!,19,FALSE)</f>
        <v>#REF!</v>
      </c>
      <c r="K3" s="14" t="s">
        <v>17</v>
      </c>
      <c r="L3" s="3"/>
      <c r="W3" s="22" t="s">
        <v>18</v>
      </c>
      <c r="X3" s="22" t="s">
        <v>78</v>
      </c>
      <c r="Y3" s="22" t="s">
        <v>19</v>
      </c>
    </row>
    <row r="4" spans="1:26" ht="24.9" customHeight="1">
      <c r="A4" s="30"/>
      <c r="L4" s="31"/>
      <c r="W4" s="22" t="s">
        <v>20</v>
      </c>
      <c r="X4" s="22" t="s">
        <v>79</v>
      </c>
      <c r="Y4" s="22" t="s">
        <v>21</v>
      </c>
    </row>
    <row r="5" spans="1:26" ht="24.9" customHeight="1">
      <c r="A5" s="15" t="s">
        <v>22</v>
      </c>
      <c r="B5" s="44" t="s">
        <v>23</v>
      </c>
      <c r="C5" s="45"/>
      <c r="D5" s="46"/>
      <c r="E5" s="47" t="s">
        <v>24</v>
      </c>
      <c r="F5" s="47"/>
      <c r="G5" s="47"/>
      <c r="H5" s="47"/>
      <c r="I5" s="47" t="s">
        <v>25</v>
      </c>
      <c r="J5" s="47"/>
      <c r="K5" s="47"/>
      <c r="L5" s="47"/>
      <c r="W5" s="22" t="s">
        <v>26</v>
      </c>
      <c r="X5" s="22" t="s">
        <v>80</v>
      </c>
      <c r="Y5" s="22" t="s">
        <v>27</v>
      </c>
    </row>
    <row r="6" spans="1:26" s="13" customFormat="1" ht="24.9" customHeight="1">
      <c r="A6" s="18" t="s">
        <v>12</v>
      </c>
      <c r="B6" s="49" t="e">
        <f>VLOOKUP(A6,#REF!,2,FALSE)</f>
        <v>#REF!</v>
      </c>
      <c r="C6" s="50"/>
      <c r="D6" s="51"/>
      <c r="E6" s="48" t="e">
        <f>VLOOKUP(A6,#REF!,77,FALSE)</f>
        <v>#REF!</v>
      </c>
      <c r="F6" s="48"/>
      <c r="G6" s="48"/>
      <c r="H6" s="48"/>
      <c r="I6" s="48" t="e">
        <f>VLOOKUP(A6,#REF!,81,FALSE)</f>
        <v>#REF!</v>
      </c>
      <c r="J6" s="48"/>
      <c r="K6" s="48"/>
      <c r="L6" s="48"/>
      <c r="W6" s="23" t="s">
        <v>28</v>
      </c>
      <c r="X6" s="23" t="s">
        <v>81</v>
      </c>
      <c r="Y6" s="23" t="s">
        <v>29</v>
      </c>
      <c r="Z6" s="1"/>
    </row>
    <row r="7" spans="1:26" ht="24.9" customHeight="1">
      <c r="A7" s="15" t="s">
        <v>30</v>
      </c>
      <c r="B7" s="16" t="s">
        <v>31</v>
      </c>
      <c r="C7" s="47" t="s">
        <v>2</v>
      </c>
      <c r="D7" s="47"/>
      <c r="E7" s="44" t="s">
        <v>32</v>
      </c>
      <c r="F7" s="46"/>
      <c r="G7" s="44" t="s">
        <v>33</v>
      </c>
      <c r="H7" s="46"/>
      <c r="I7" s="44" t="s">
        <v>3</v>
      </c>
      <c r="J7" s="46"/>
      <c r="K7" s="44" t="s">
        <v>34</v>
      </c>
      <c r="L7" s="46"/>
      <c r="W7" s="22" t="s">
        <v>35</v>
      </c>
      <c r="X7" s="22" t="s">
        <v>82</v>
      </c>
      <c r="Y7" s="22" t="s">
        <v>36</v>
      </c>
    </row>
    <row r="8" spans="1:26" s="13" customFormat="1" ht="24.9" customHeight="1">
      <c r="A8" s="17" t="e">
        <f>VLOOKUP(A6,#REF!,2,FALSE)</f>
        <v>#REF!</v>
      </c>
      <c r="B8" s="17" t="e">
        <f>VLOOKUP(A6,#REF!,85,FALSE)</f>
        <v>#REF!</v>
      </c>
      <c r="C8" s="48" t="str">
        <f>VLOOKUP(A6,$W$1:$Y$20,2,FALSE)</f>
        <v>260130RRCOI9</v>
      </c>
      <c r="D8" s="48"/>
      <c r="E8" s="54" t="e">
        <f>VLOOKUP(A6,#REF!,22,FALSE)</f>
        <v>#REF!</v>
      </c>
      <c r="F8" s="54"/>
      <c r="G8" s="55" t="s">
        <v>37</v>
      </c>
      <c r="H8" s="55"/>
      <c r="I8" s="48" t="str">
        <f>VLOOKUP(A6,$W$1:$Y$20,3,FALSE)</f>
        <v>07874085</v>
      </c>
      <c r="J8" s="48"/>
      <c r="K8" s="48" t="e">
        <f>VLOOKUP(A6,#REF!,101,FALSE)</f>
        <v>#REF!</v>
      </c>
      <c r="L8" s="48"/>
      <c r="W8" s="23" t="s">
        <v>38</v>
      </c>
      <c r="X8" s="23" t="s">
        <v>84</v>
      </c>
      <c r="Y8" s="23" t="s">
        <v>39</v>
      </c>
      <c r="Z8" s="1"/>
    </row>
    <row r="9" spans="1:26" ht="24.9" customHeight="1">
      <c r="A9" s="32"/>
      <c r="L9" s="31"/>
      <c r="W9" s="22" t="s">
        <v>40</v>
      </c>
      <c r="X9" s="22" t="s">
        <v>85</v>
      </c>
      <c r="Y9" s="22" t="s">
        <v>42</v>
      </c>
    </row>
    <row r="10" spans="1:26" ht="28.5" customHeight="1">
      <c r="A10" s="47" t="s">
        <v>43</v>
      </c>
      <c r="B10" s="47"/>
      <c r="C10" s="47"/>
      <c r="D10" s="47"/>
      <c r="E10" s="47" t="s">
        <v>44</v>
      </c>
      <c r="F10" s="47"/>
      <c r="G10" s="47"/>
      <c r="H10" s="47"/>
      <c r="I10" s="47" t="s">
        <v>45</v>
      </c>
      <c r="J10" s="47"/>
      <c r="K10" s="47"/>
      <c r="L10" s="47"/>
      <c r="W10" s="22" t="s">
        <v>46</v>
      </c>
      <c r="X10" s="22">
        <v>0</v>
      </c>
      <c r="Y10" s="22" t="s">
        <v>47</v>
      </c>
    </row>
    <row r="11" spans="1:26" ht="24.9" customHeight="1">
      <c r="A11" s="44" t="s">
        <v>48</v>
      </c>
      <c r="B11" s="46"/>
      <c r="C11" s="15" t="s">
        <v>49</v>
      </c>
      <c r="D11" s="15" t="s">
        <v>50</v>
      </c>
      <c r="E11" s="47" t="s">
        <v>48</v>
      </c>
      <c r="F11" s="47"/>
      <c r="G11" s="15" t="s">
        <v>49</v>
      </c>
      <c r="H11" s="15" t="s">
        <v>50</v>
      </c>
      <c r="I11" s="47" t="s">
        <v>48</v>
      </c>
      <c r="J11" s="47"/>
      <c r="K11" s="15" t="s">
        <v>49</v>
      </c>
      <c r="L11" s="15" t="s">
        <v>50</v>
      </c>
      <c r="W11" s="22" t="s">
        <v>51</v>
      </c>
      <c r="X11" s="22" t="s">
        <v>86</v>
      </c>
      <c r="Y11" s="22" t="s">
        <v>52</v>
      </c>
    </row>
    <row r="12" spans="1:26" ht="24.9" customHeight="1">
      <c r="A12" s="19" t="s">
        <v>53</v>
      </c>
      <c r="B12" s="28"/>
      <c r="C12" s="7" t="e">
        <f>SUMIF(#REF!,CONCATENATE($A$6,A12),#REF!)</f>
        <v>#REF!</v>
      </c>
      <c r="D12" s="12" t="e">
        <f>SUMIF(#REF!,CONCATENATE($A$6,A12),#REF!)</f>
        <v>#REF!</v>
      </c>
      <c r="E12" s="19" t="s">
        <v>54</v>
      </c>
      <c r="F12" s="7"/>
      <c r="G12" s="7" t="e">
        <f>SUMIF(#REF!,CONCATENATE($A$6,E12),#REF!)</f>
        <v>#REF!</v>
      </c>
      <c r="H12" s="12" t="e">
        <f>SUMIF(#REF!,CONCATENATE($A$6,E12),#REF!)</f>
        <v>#REF!</v>
      </c>
      <c r="I12" s="56" t="s">
        <v>55</v>
      </c>
      <c r="J12" s="57"/>
      <c r="K12" s="6">
        <v>0</v>
      </c>
      <c r="L12" s="20" t="e">
        <f>VLOOKUP(A6,#REF!,6,FALSE)</f>
        <v>#REF!</v>
      </c>
      <c r="W12" s="22" t="s">
        <v>61</v>
      </c>
      <c r="X12" s="22" t="s">
        <v>62</v>
      </c>
      <c r="Y12" s="22" t="s">
        <v>63</v>
      </c>
    </row>
    <row r="13" spans="1:26" ht="24.9" customHeight="1">
      <c r="A13" s="19" t="s">
        <v>64</v>
      </c>
      <c r="B13" s="7"/>
      <c r="C13" s="7" t="e">
        <f>SUMIF(#REF!,CONCATENATE($A$6,A13),#REF!)</f>
        <v>#REF!</v>
      </c>
      <c r="D13" s="12" t="e">
        <f>SUMIF(#REF!,CONCATENATE($A$6,A13),#REF!)</f>
        <v>#REF!</v>
      </c>
      <c r="E13" s="19" t="s">
        <v>59</v>
      </c>
      <c r="F13" s="7"/>
      <c r="G13" s="7" t="e">
        <f>SUMIF(#REF!,CONCATENATE($A$6,E13),#REF!)</f>
        <v>#REF!</v>
      </c>
      <c r="H13" s="12" t="e">
        <f>SUMIF(#REF!,CONCATENATE($A$6,E13),#REF!)</f>
        <v>#REF!</v>
      </c>
      <c r="I13" s="52" t="s">
        <v>60</v>
      </c>
      <c r="J13" s="53"/>
      <c r="K13" s="8">
        <v>0</v>
      </c>
      <c r="L13" s="12" t="e">
        <f>VLOOKUP(A6,#REF!,7,FALSE)</f>
        <v>#REF!</v>
      </c>
      <c r="W13" s="22" t="s">
        <v>65</v>
      </c>
      <c r="X13" s="22" t="s">
        <v>87</v>
      </c>
      <c r="Y13" s="22" t="s">
        <v>66</v>
      </c>
    </row>
    <row r="14" spans="1:26" ht="24.9" customHeight="1">
      <c r="A14" s="19" t="s">
        <v>58</v>
      </c>
      <c r="B14" s="7"/>
      <c r="C14" s="7" t="e">
        <f>SUMIF(#REF!,CONCATENATE($A$6,A14),#REF!)</f>
        <v>#REF!</v>
      </c>
      <c r="D14" s="19" t="e">
        <f>SUMIF(#REF!,CONCATENATE($A$6,A14),#REF!)</f>
        <v>#REF!</v>
      </c>
      <c r="E14" s="19"/>
      <c r="F14" s="7"/>
      <c r="G14" s="7"/>
      <c r="H14" s="12"/>
      <c r="I14" s="52"/>
      <c r="J14" s="53"/>
      <c r="K14" s="8"/>
      <c r="L14" s="7"/>
      <c r="W14" s="22" t="s">
        <v>70</v>
      </c>
      <c r="X14" s="22" t="s">
        <v>83</v>
      </c>
      <c r="Y14" s="22" t="s">
        <v>70</v>
      </c>
    </row>
    <row r="15" spans="1:26" ht="24.9" customHeight="1">
      <c r="A15" s="19"/>
      <c r="B15" s="7"/>
      <c r="C15" s="7"/>
      <c r="D15" s="19"/>
      <c r="E15" s="19"/>
      <c r="F15" s="7"/>
      <c r="G15" s="7"/>
      <c r="H15" s="12"/>
      <c r="I15" s="19"/>
      <c r="J15" s="7"/>
      <c r="K15" s="8"/>
      <c r="L15" s="7"/>
      <c r="W15" s="22" t="s">
        <v>56</v>
      </c>
      <c r="X15" s="22" t="s">
        <v>57</v>
      </c>
      <c r="Y15" s="22" t="s">
        <v>56</v>
      </c>
    </row>
    <row r="16" spans="1:26" ht="24.9" customHeight="1">
      <c r="A16" s="19"/>
      <c r="B16" s="7"/>
      <c r="C16" s="7"/>
      <c r="D16" s="19"/>
      <c r="E16" s="19"/>
      <c r="F16" s="7"/>
      <c r="G16" s="7"/>
      <c r="H16" s="12"/>
      <c r="I16" s="52"/>
      <c r="J16" s="53"/>
      <c r="K16" s="8"/>
      <c r="L16" s="7"/>
      <c r="W16" s="22" t="s">
        <v>67</v>
      </c>
      <c r="X16" s="22" t="s">
        <v>68</v>
      </c>
      <c r="Y16" s="22" t="s">
        <v>67</v>
      </c>
    </row>
    <row r="17" spans="1:25" ht="24.9" customHeight="1">
      <c r="A17" s="19"/>
      <c r="B17" s="7"/>
      <c r="C17" s="7"/>
      <c r="D17" s="19"/>
      <c r="E17" s="19"/>
      <c r="F17" s="7"/>
      <c r="G17" s="7"/>
      <c r="H17" s="12"/>
      <c r="I17" s="52"/>
      <c r="J17" s="53"/>
      <c r="K17" s="8"/>
      <c r="L17" s="7"/>
      <c r="W17" s="24" t="s">
        <v>69</v>
      </c>
      <c r="X17" s="22" t="s">
        <v>41</v>
      </c>
      <c r="Y17" s="24" t="s">
        <v>69</v>
      </c>
    </row>
    <row r="18" spans="1:25" ht="24.9" customHeight="1">
      <c r="A18" s="19"/>
      <c r="B18" s="7"/>
      <c r="C18" s="7"/>
      <c r="D18" s="19"/>
      <c r="E18" s="19"/>
      <c r="F18" s="7"/>
      <c r="G18" s="7"/>
      <c r="H18" s="7"/>
      <c r="I18" s="52"/>
      <c r="J18" s="53"/>
      <c r="K18" s="8"/>
      <c r="L18" s="7"/>
      <c r="W18" s="24" t="s">
        <v>88</v>
      </c>
      <c r="X18" s="22" t="s">
        <v>41</v>
      </c>
      <c r="Y18" s="24" t="s">
        <v>88</v>
      </c>
    </row>
    <row r="19" spans="1:25" ht="24.9" customHeight="1">
      <c r="A19" s="19"/>
      <c r="B19" s="7"/>
      <c r="C19" s="7"/>
      <c r="D19" s="12"/>
      <c r="E19" s="19"/>
      <c r="F19" s="7"/>
      <c r="G19" s="8"/>
      <c r="H19" s="7"/>
      <c r="I19" s="52"/>
      <c r="J19" s="53"/>
      <c r="K19" s="8"/>
      <c r="L19" s="7"/>
    </row>
    <row r="20" spans="1:25" ht="24.9" customHeight="1">
      <c r="A20" s="19"/>
      <c r="B20" s="7"/>
      <c r="C20" s="7"/>
      <c r="D20" s="12"/>
      <c r="E20" s="19"/>
      <c r="F20" s="7"/>
      <c r="G20" s="8"/>
      <c r="H20" s="7"/>
      <c r="I20" s="52"/>
      <c r="J20" s="53"/>
      <c r="K20" s="8"/>
      <c r="L20" s="7"/>
    </row>
    <row r="21" spans="1:25" ht="24.9" customHeight="1">
      <c r="A21" s="19"/>
      <c r="B21" s="7"/>
      <c r="C21" s="7"/>
      <c r="D21" s="7"/>
      <c r="E21" s="52"/>
      <c r="F21" s="53"/>
      <c r="G21" s="8"/>
      <c r="H21" s="7"/>
      <c r="I21" s="52"/>
      <c r="J21" s="53"/>
      <c r="K21" s="8"/>
      <c r="L21" s="7"/>
    </row>
    <row r="22" spans="1:25" ht="24.9" customHeight="1">
      <c r="A22" s="19"/>
      <c r="B22" s="7"/>
      <c r="C22" s="7"/>
      <c r="D22" s="7"/>
      <c r="E22" s="52"/>
      <c r="F22" s="53"/>
      <c r="G22" s="8"/>
      <c r="H22" s="7"/>
      <c r="I22" s="52"/>
      <c r="J22" s="53"/>
      <c r="K22" s="8"/>
      <c r="L22" s="7"/>
    </row>
    <row r="23" spans="1:25" ht="24.9" customHeight="1">
      <c r="A23" s="52"/>
      <c r="B23" s="53"/>
      <c r="C23" s="7"/>
      <c r="D23" s="7"/>
      <c r="E23" s="52"/>
      <c r="F23" s="53"/>
      <c r="G23" s="8"/>
      <c r="H23" s="7"/>
      <c r="I23" s="52"/>
      <c r="J23" s="53"/>
      <c r="K23" s="8"/>
      <c r="L23" s="7"/>
    </row>
    <row r="24" spans="1:25" ht="24.9" customHeight="1">
      <c r="A24" s="58"/>
      <c r="B24" s="59"/>
      <c r="C24" s="9"/>
      <c r="D24" s="9"/>
      <c r="E24" s="58"/>
      <c r="F24" s="59"/>
      <c r="G24" s="10"/>
      <c r="H24" s="9"/>
      <c r="I24" s="58"/>
      <c r="J24" s="59"/>
      <c r="K24" s="10"/>
      <c r="L24" s="9"/>
    </row>
    <row r="25" spans="1:25" ht="24.9" customHeight="1">
      <c r="A25" s="60"/>
      <c r="B25" s="60"/>
      <c r="C25" s="61"/>
      <c r="D25" s="61"/>
      <c r="E25" s="61"/>
      <c r="F25" s="61"/>
      <c r="G25" s="61"/>
      <c r="H25" s="61"/>
      <c r="I25" s="62" t="s">
        <v>71</v>
      </c>
      <c r="J25" s="63"/>
      <c r="K25" s="64"/>
      <c r="L25" s="5" t="e">
        <f>SUM(L12:L24)</f>
        <v>#REF!</v>
      </c>
    </row>
    <row r="26" spans="1:25" ht="24.9" customHeight="1">
      <c r="A26" s="62" t="s">
        <v>72</v>
      </c>
      <c r="B26" s="63"/>
      <c r="C26" s="64"/>
      <c r="D26" s="5" t="e">
        <f>SUM(D12:D24)</f>
        <v>#REF!</v>
      </c>
      <c r="E26" s="62" t="s">
        <v>73</v>
      </c>
      <c r="F26" s="63"/>
      <c r="G26" s="64"/>
      <c r="H26" s="5" t="e">
        <f>SUM(H12:H24)</f>
        <v>#REF!</v>
      </c>
      <c r="I26" s="62" t="s">
        <v>74</v>
      </c>
      <c r="J26" s="63"/>
      <c r="K26" s="64"/>
      <c r="L26" s="5" t="e">
        <f>+D26-H26</f>
        <v>#REF!</v>
      </c>
      <c r="M26" s="11"/>
    </row>
    <row r="27" spans="1:25">
      <c r="A27" s="32"/>
      <c r="L27" s="31"/>
    </row>
    <row r="28" spans="1:25">
      <c r="A28" s="32"/>
      <c r="L28" s="31"/>
    </row>
    <row r="29" spans="1:25">
      <c r="A29" s="32"/>
      <c r="L29" s="31"/>
    </row>
    <row r="30" spans="1:25">
      <c r="A30" s="32"/>
      <c r="L30" s="31"/>
    </row>
    <row r="31" spans="1:25">
      <c r="A31" s="32"/>
      <c r="L31" s="31"/>
    </row>
    <row r="32" spans="1:25">
      <c r="A32" s="32"/>
      <c r="L32" s="31"/>
    </row>
    <row r="33" spans="1:12">
      <c r="A33" s="32"/>
      <c r="L33" s="31"/>
    </row>
    <row r="34" spans="1:12">
      <c r="A34" s="32"/>
      <c r="L34" s="31"/>
    </row>
    <row r="35" spans="1:12">
      <c r="A35" s="32"/>
      <c r="F35" s="4"/>
      <c r="G35" s="4"/>
      <c r="H35" s="4"/>
      <c r="J35" s="4"/>
      <c r="K35" s="4"/>
      <c r="L35" s="33"/>
    </row>
    <row r="36" spans="1:12">
      <c r="A36" s="34"/>
      <c r="B36" s="4"/>
      <c r="C36" s="4"/>
      <c r="D36" s="4"/>
      <c r="E36" s="4"/>
      <c r="F36" s="4" t="s">
        <v>75</v>
      </c>
      <c r="G36" s="4"/>
      <c r="H36" s="4"/>
      <c r="I36" s="4"/>
      <c r="J36" s="4" t="s">
        <v>76</v>
      </c>
      <c r="K36" s="4"/>
      <c r="L36" s="33"/>
    </row>
  </sheetData>
  <mergeCells count="48">
    <mergeCell ref="I24:J24"/>
    <mergeCell ref="I25:K25"/>
    <mergeCell ref="A25:H25"/>
    <mergeCell ref="A26:C26"/>
    <mergeCell ref="E26:G26"/>
    <mergeCell ref="I26:K26"/>
    <mergeCell ref="E24:F24"/>
    <mergeCell ref="A24:B24"/>
    <mergeCell ref="A23:B23"/>
    <mergeCell ref="I22:J22"/>
    <mergeCell ref="I16:J16"/>
    <mergeCell ref="I17:J17"/>
    <mergeCell ref="I18:J18"/>
    <mergeCell ref="E21:F21"/>
    <mergeCell ref="E22:F22"/>
    <mergeCell ref="I19:J19"/>
    <mergeCell ref="I20:J20"/>
    <mergeCell ref="I21:J21"/>
    <mergeCell ref="I23:J23"/>
    <mergeCell ref="E23:F23"/>
    <mergeCell ref="I12:J12"/>
    <mergeCell ref="I14:J14"/>
    <mergeCell ref="A11:B11"/>
    <mergeCell ref="E11:F11"/>
    <mergeCell ref="I11:J11"/>
    <mergeCell ref="I13:J13"/>
    <mergeCell ref="I7:J7"/>
    <mergeCell ref="K7:L7"/>
    <mergeCell ref="I8:J8"/>
    <mergeCell ref="K8:L8"/>
    <mergeCell ref="A10:D10"/>
    <mergeCell ref="E10:H10"/>
    <mergeCell ref="I10:L10"/>
    <mergeCell ref="C7:D7"/>
    <mergeCell ref="C8:D8"/>
    <mergeCell ref="E7:F7"/>
    <mergeCell ref="G7:H7"/>
    <mergeCell ref="E8:F8"/>
    <mergeCell ref="G8:H8"/>
    <mergeCell ref="A1:K1"/>
    <mergeCell ref="A2:A3"/>
    <mergeCell ref="E5:H5"/>
    <mergeCell ref="I5:L5"/>
    <mergeCell ref="E6:H6"/>
    <mergeCell ref="I6:L6"/>
    <mergeCell ref="B2:D3"/>
    <mergeCell ref="B5:D5"/>
    <mergeCell ref="B6:D6"/>
  </mergeCells>
  <conditionalFormatting sqref="X2:X1048576">
    <cfRule type="duplicateValues" dxfId="1" priority="2"/>
  </conditionalFormatting>
  <conditionalFormatting sqref="Y18:Y1048576 Y2:Y3">
    <cfRule type="duplicateValues" dxfId="0" priority="1"/>
  </conditionalFormatting>
  <dataValidations count="1">
    <dataValidation type="list" allowBlank="1" showInputMessage="1" showErrorMessage="1" sqref="A6" xr:uid="{00000000-0002-0000-1000-000000000000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46485-dadf-402b-946d-670a8d5419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26ECBB2595046A1C872549E0FCC00" ma:contentTypeVersion="18" ma:contentTypeDescription="Create a new document." ma:contentTypeScope="" ma:versionID="47ec6059f4bd9e03978e7c4494a2d022">
  <xsd:schema xmlns:xsd="http://www.w3.org/2001/XMLSchema" xmlns:xs="http://www.w3.org/2001/XMLSchema" xmlns:p="http://schemas.microsoft.com/office/2006/metadata/properties" xmlns:ns3="45746485-dadf-402b-946d-670a8d5419c5" xmlns:ns4="3144bafa-e542-4cda-980a-0dcf7db8d145" targetNamespace="http://schemas.microsoft.com/office/2006/metadata/properties" ma:root="true" ma:fieldsID="ba14471d06b067e3716acf79f7203986" ns3:_="" ns4:_="">
    <xsd:import namespace="45746485-dadf-402b-946d-670a8d5419c5"/>
    <xsd:import namespace="3144bafa-e542-4cda-980a-0dcf7db8d1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46485-dadf-402b-946d-670a8d541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4bafa-e542-4cda-980a-0dcf7db8d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E7E3D2-6B2A-409C-9F70-ED5060252723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144bafa-e542-4cda-980a-0dcf7db8d145"/>
    <ds:schemaRef ds:uri="45746485-dadf-402b-946d-670a8d5419c5"/>
  </ds:schemaRefs>
</ds:datastoreItem>
</file>

<file path=customXml/itemProps2.xml><?xml version="1.0" encoding="utf-8"?>
<ds:datastoreItem xmlns:ds="http://schemas.openxmlformats.org/officeDocument/2006/customXml" ds:itemID="{6E5956B3-CE36-4911-8C78-281CF57113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8EA648-C4E2-42AF-BDDB-D64ED3212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46485-dadf-402b-946d-670a8d5419c5"/>
    <ds:schemaRef ds:uri="3144bafa-e542-4cda-980a-0dcf7db8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PS1</vt:lpstr>
      <vt:lpstr>'PS1'!Área_de_impresión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Arambulo</dc:creator>
  <cp:keywords/>
  <dc:description/>
  <cp:lastModifiedBy>Cristian Parada</cp:lastModifiedBy>
  <cp:revision/>
  <cp:lastPrinted>2026-06-02T00:26:27Z</cp:lastPrinted>
  <dcterms:created xsi:type="dcterms:W3CDTF">2022-07-26T22:34:53Z</dcterms:created>
  <dcterms:modified xsi:type="dcterms:W3CDTF">2026-06-22T19:20:26Z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