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ristian\Documents\SYP\Documentos automatizacion 2\NOMINA\Comprobantes de pago Nathalie\"/>
    </mc:Choice>
  </mc:AlternateContent>
  <xr:revisionPtr revIDLastSave="0" documentId="8_{49DE7AE0-5B58-450B-A577-811DA87E21E1}" xr6:coauthVersionLast="47" xr6:coauthVersionMax="47" xr10:uidLastSave="{00000000-0000-0000-0000-000000000000}"/>
  <bookViews>
    <workbookView xWindow="-108" yWindow="-108" windowWidth="23256" windowHeight="12456" tabRatio="876" xr2:uid="{00000000-000D-0000-FFFF-FFFF00000000}"/>
  </bookViews>
  <sheets>
    <sheet name="PS1 (17)" sheetId="86" r:id="rId1"/>
    <sheet name="PS1 (16)" sheetId="85" r:id="rId2"/>
    <sheet name="PS1 (15)" sheetId="84" r:id="rId3"/>
    <sheet name="PS1 (14)" sheetId="83" r:id="rId4"/>
    <sheet name="PS1 (13)" sheetId="82" r:id="rId5"/>
    <sheet name="PS1 (12)" sheetId="81" r:id="rId6"/>
    <sheet name="PS1 (11)" sheetId="80" r:id="rId7"/>
    <sheet name="PS1 (10)" sheetId="79" r:id="rId8"/>
    <sheet name="PS1 (9)" sheetId="78" r:id="rId9"/>
    <sheet name="PS1 (8)" sheetId="77" r:id="rId10"/>
    <sheet name="PS1 (7)" sheetId="76" r:id="rId11"/>
    <sheet name="PS1 (6)" sheetId="75" r:id="rId12"/>
    <sheet name="PS1 (5)" sheetId="74" r:id="rId13"/>
    <sheet name="PS1 (4)" sheetId="73" r:id="rId14"/>
    <sheet name="PS1 (3)" sheetId="72" r:id="rId15"/>
    <sheet name="PS1 (2)" sheetId="71" r:id="rId16"/>
    <sheet name="PS1" sheetId="1" r:id="rId17"/>
    <sheet name="Dev" sheetId="3" r:id="rId18"/>
    <sheet name="Detallado" sheetId="24" r:id="rId19"/>
    <sheet name="Datos" sheetId="2" r:id="rId20"/>
    <sheet name="ESSALUD" sheetId="23" r:id="rId21"/>
    <sheet name="BD Total" sheetId="22" r:id="rId22"/>
  </sheets>
  <definedNames>
    <definedName name="_xlnm._FilterDatabase" localSheetId="21" hidden="1">'BD Total'!$A$1:$FA$15</definedName>
    <definedName name="_xlnm._FilterDatabase" localSheetId="18" hidden="1">Detallado!$A$1:$AB$86</definedName>
    <definedName name="_xlnm._FilterDatabase" localSheetId="17" hidden="1">Dev!$A$1:$V$86</definedName>
    <definedName name="_xlnm.Print_Area" localSheetId="16">'PS1'!$A$1:$L$36</definedName>
    <definedName name="_xlnm.Print_Area" localSheetId="7">'PS1 (10)'!$A$1:$L$36</definedName>
    <definedName name="_xlnm.Print_Area" localSheetId="6">'PS1 (11)'!$A$1:$L$36</definedName>
    <definedName name="_xlnm.Print_Area" localSheetId="5">'PS1 (12)'!$A$1:$L$36</definedName>
    <definedName name="_xlnm.Print_Area" localSheetId="4">'PS1 (13)'!$A$1:$L$36</definedName>
    <definedName name="_xlnm.Print_Area" localSheetId="3">'PS1 (14)'!$A$1:$L$36</definedName>
    <definedName name="_xlnm.Print_Area" localSheetId="2">'PS1 (15)'!$A$1:$L$36</definedName>
    <definedName name="_xlnm.Print_Area" localSheetId="1">'PS1 (16)'!$A$1:$L$36</definedName>
    <definedName name="_xlnm.Print_Area" localSheetId="0">'PS1 (17)'!$A$1:$L$36</definedName>
    <definedName name="_xlnm.Print_Area" localSheetId="15">'PS1 (2)'!$A$1:$L$36</definedName>
    <definedName name="_xlnm.Print_Area" localSheetId="14">'PS1 (3)'!$A$1:$L$36</definedName>
    <definedName name="_xlnm.Print_Area" localSheetId="13">'PS1 (4)'!$A$1:$L$36</definedName>
    <definedName name="_xlnm.Print_Area" localSheetId="12">'PS1 (5)'!$A$1:$L$36</definedName>
    <definedName name="_xlnm.Print_Area" localSheetId="11">'PS1 (6)'!$A$1:$L$36</definedName>
    <definedName name="_xlnm.Print_Area" localSheetId="10">'PS1 (7)'!$A$1:$L$36</definedName>
    <definedName name="_xlnm.Print_Area" localSheetId="9">'PS1 (8)'!$A$1:$L$36</definedName>
    <definedName name="_xlnm.Print_Area" localSheetId="8">'PS1 (9)'!$A$1:$L$36</definedName>
    <definedName name="DATOS">Datos!$B$2:$S$17</definedName>
  </definedNames>
  <calcPr calcId="191029"/>
  <pivotCaches>
    <pivotCache cacheId="0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86" l="1"/>
  <c r="D13" i="86"/>
  <c r="B6" i="86"/>
  <c r="L12" i="85"/>
  <c r="L25" i="85" s="1"/>
  <c r="L13" i="85"/>
  <c r="B6" i="85"/>
  <c r="L13" i="86"/>
  <c r="L12" i="86"/>
  <c r="L25" i="86" s="1"/>
  <c r="H26" i="86"/>
  <c r="D12" i="86"/>
  <c r="C12" i="86"/>
  <c r="K8" i="86"/>
  <c r="I8" i="86"/>
  <c r="E8" i="86"/>
  <c r="C8" i="86"/>
  <c r="B8" i="86"/>
  <c r="A8" i="86"/>
  <c r="I6" i="86"/>
  <c r="E6" i="86"/>
  <c r="J3" i="86"/>
  <c r="L2" i="86"/>
  <c r="B6" i="84"/>
  <c r="H14" i="81"/>
  <c r="D26" i="1"/>
  <c r="G13" i="83"/>
  <c r="G14" i="83"/>
  <c r="H14" i="83"/>
  <c r="H14" i="79"/>
  <c r="D15" i="79"/>
  <c r="C15" i="79"/>
  <c r="H13" i="78"/>
  <c r="V7" i="3"/>
  <c r="H14" i="77"/>
  <c r="H14" i="76"/>
  <c r="H14" i="75"/>
  <c r="C13" i="75"/>
  <c r="D13" i="75"/>
  <c r="H14" i="74"/>
  <c r="H14" i="73"/>
  <c r="C13" i="72"/>
  <c r="R3" i="2"/>
  <c r="P3" i="2"/>
  <c r="K8" i="85"/>
  <c r="I8" i="85"/>
  <c r="E8" i="85"/>
  <c r="C8" i="85"/>
  <c r="B8" i="85"/>
  <c r="A8" i="85"/>
  <c r="I6" i="85"/>
  <c r="E6" i="85"/>
  <c r="L2" i="85"/>
  <c r="L13" i="84"/>
  <c r="L12" i="84"/>
  <c r="L25" i="84" s="1"/>
  <c r="K8" i="84"/>
  <c r="I8" i="84"/>
  <c r="E8" i="84"/>
  <c r="C8" i="84"/>
  <c r="B8" i="84"/>
  <c r="A8" i="84"/>
  <c r="I6" i="84"/>
  <c r="E6" i="84"/>
  <c r="L2" i="84"/>
  <c r="L13" i="83"/>
  <c r="L12" i="83"/>
  <c r="K8" i="83"/>
  <c r="I8" i="83"/>
  <c r="E8" i="83"/>
  <c r="C8" i="83"/>
  <c r="B8" i="83"/>
  <c r="A8" i="83"/>
  <c r="I6" i="83"/>
  <c r="E6" i="83"/>
  <c r="B6" i="83"/>
  <c r="L2" i="83"/>
  <c r="L13" i="82"/>
  <c r="L12" i="82"/>
  <c r="K8" i="82"/>
  <c r="I8" i="82"/>
  <c r="E8" i="82"/>
  <c r="C8" i="82"/>
  <c r="B8" i="82"/>
  <c r="A8" i="82"/>
  <c r="I6" i="82"/>
  <c r="E6" i="82"/>
  <c r="B6" i="82"/>
  <c r="L2" i="82"/>
  <c r="L13" i="81"/>
  <c r="L12" i="81"/>
  <c r="K8" i="81"/>
  <c r="I8" i="81"/>
  <c r="E8" i="81"/>
  <c r="C8" i="81"/>
  <c r="B8" i="81"/>
  <c r="A8" i="81"/>
  <c r="I6" i="81"/>
  <c r="E6" i="81"/>
  <c r="B6" i="81"/>
  <c r="L2" i="81"/>
  <c r="L13" i="80"/>
  <c r="L12" i="80"/>
  <c r="K8" i="80"/>
  <c r="I8" i="80"/>
  <c r="E8" i="80"/>
  <c r="C8" i="80"/>
  <c r="B8" i="80"/>
  <c r="A8" i="80"/>
  <c r="I6" i="80"/>
  <c r="E6" i="80"/>
  <c r="B6" i="80"/>
  <c r="L2" i="80"/>
  <c r="L12" i="79"/>
  <c r="L25" i="79" s="1"/>
  <c r="K8" i="79"/>
  <c r="I8" i="79"/>
  <c r="E8" i="79"/>
  <c r="C8" i="79"/>
  <c r="B8" i="79"/>
  <c r="A8" i="79"/>
  <c r="I6" i="79"/>
  <c r="E6" i="79"/>
  <c r="B6" i="79"/>
  <c r="L2" i="79"/>
  <c r="L13" i="78"/>
  <c r="L12" i="78"/>
  <c r="K8" i="78"/>
  <c r="I8" i="78"/>
  <c r="E8" i="78"/>
  <c r="C8" i="78"/>
  <c r="B8" i="78"/>
  <c r="A8" i="78"/>
  <c r="I6" i="78"/>
  <c r="E6" i="78"/>
  <c r="B6" i="78"/>
  <c r="L2" i="78"/>
  <c r="L13" i="77"/>
  <c r="L12" i="77"/>
  <c r="K8" i="77"/>
  <c r="I8" i="77"/>
  <c r="E8" i="77"/>
  <c r="C8" i="77"/>
  <c r="B8" i="77"/>
  <c r="A8" i="77"/>
  <c r="I6" i="77"/>
  <c r="E6" i="77"/>
  <c r="B6" i="77"/>
  <c r="L2" i="77"/>
  <c r="L13" i="76"/>
  <c r="L12" i="76"/>
  <c r="L25" i="76" s="1"/>
  <c r="K8" i="76"/>
  <c r="I8" i="76"/>
  <c r="E8" i="76"/>
  <c r="C8" i="76"/>
  <c r="B8" i="76"/>
  <c r="A8" i="76"/>
  <c r="I6" i="76"/>
  <c r="E6" i="76"/>
  <c r="B6" i="76"/>
  <c r="L2" i="76"/>
  <c r="L13" i="75"/>
  <c r="L12" i="75"/>
  <c r="L25" i="75" s="1"/>
  <c r="K8" i="75"/>
  <c r="I8" i="75"/>
  <c r="E8" i="75"/>
  <c r="C8" i="75"/>
  <c r="B8" i="75"/>
  <c r="A8" i="75"/>
  <c r="I6" i="75"/>
  <c r="E6" i="75"/>
  <c r="B6" i="75"/>
  <c r="L2" i="75"/>
  <c r="L13" i="74"/>
  <c r="L12" i="74"/>
  <c r="L25" i="74" s="1"/>
  <c r="K8" i="74"/>
  <c r="I8" i="74"/>
  <c r="E8" i="74"/>
  <c r="C8" i="74"/>
  <c r="B8" i="74"/>
  <c r="A8" i="74"/>
  <c r="I6" i="74"/>
  <c r="E6" i="74"/>
  <c r="B6" i="74"/>
  <c r="L2" i="74"/>
  <c r="L13" i="73"/>
  <c r="L12" i="73"/>
  <c r="K8" i="73"/>
  <c r="I8" i="73"/>
  <c r="E8" i="73"/>
  <c r="C8" i="73"/>
  <c r="B8" i="73"/>
  <c r="A8" i="73"/>
  <c r="I6" i="73"/>
  <c r="E6" i="73"/>
  <c r="B6" i="73"/>
  <c r="L2" i="73"/>
  <c r="L13" i="72"/>
  <c r="L12" i="72"/>
  <c r="K8" i="72"/>
  <c r="I8" i="72"/>
  <c r="E8" i="72"/>
  <c r="C8" i="72"/>
  <c r="B8" i="72"/>
  <c r="A8" i="72"/>
  <c r="I6" i="72"/>
  <c r="E6" i="72"/>
  <c r="B6" i="72"/>
  <c r="L2" i="72"/>
  <c r="L13" i="71"/>
  <c r="L12" i="71"/>
  <c r="K8" i="71"/>
  <c r="I8" i="71"/>
  <c r="E8" i="71"/>
  <c r="C8" i="71"/>
  <c r="B8" i="71"/>
  <c r="A8" i="71"/>
  <c r="I6" i="71"/>
  <c r="E6" i="71"/>
  <c r="B6" i="71"/>
  <c r="L2" i="71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G14" i="75" s="1"/>
  <c r="B4" i="3"/>
  <c r="B3" i="3"/>
  <c r="B2" i="3"/>
  <c r="H13" i="1" s="1"/>
  <c r="B3" i="24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58" i="24"/>
  <c r="B59" i="24"/>
  <c r="B60" i="24"/>
  <c r="B61" i="24"/>
  <c r="B62" i="24"/>
  <c r="B63" i="24"/>
  <c r="B64" i="24"/>
  <c r="B65" i="24"/>
  <c r="B66" i="24"/>
  <c r="B67" i="24"/>
  <c r="B68" i="24"/>
  <c r="B69" i="24"/>
  <c r="B70" i="24"/>
  <c r="B71" i="24"/>
  <c r="B72" i="24"/>
  <c r="B73" i="24"/>
  <c r="B74" i="24"/>
  <c r="B75" i="24"/>
  <c r="B76" i="24"/>
  <c r="B77" i="24"/>
  <c r="B78" i="24"/>
  <c r="B79" i="24"/>
  <c r="B80" i="24"/>
  <c r="B81" i="24"/>
  <c r="B82" i="24"/>
  <c r="B83" i="24"/>
  <c r="B84" i="24"/>
  <c r="B85" i="24"/>
  <c r="B86" i="24"/>
  <c r="B2" i="24"/>
  <c r="M5" i="2"/>
  <c r="M6" i="2"/>
  <c r="M7" i="2"/>
  <c r="M8" i="2"/>
  <c r="M9" i="2"/>
  <c r="M10" i="2"/>
  <c r="M11" i="2"/>
  <c r="P11" i="2" s="1"/>
  <c r="M12" i="2"/>
  <c r="P12" i="2" s="1"/>
  <c r="M13" i="2"/>
  <c r="M14" i="2"/>
  <c r="M15" i="2"/>
  <c r="P15" i="2" s="1"/>
  <c r="M16" i="2"/>
  <c r="M17" i="2"/>
  <c r="P17" i="2" s="1"/>
  <c r="M18" i="2"/>
  <c r="P18" i="2" s="1"/>
  <c r="M19" i="2"/>
  <c r="P19" i="2" s="1"/>
  <c r="P5" i="2"/>
  <c r="P6" i="2"/>
  <c r="P7" i="2"/>
  <c r="P8" i="2"/>
  <c r="P9" i="2"/>
  <c r="P10" i="2"/>
  <c r="P13" i="2"/>
  <c r="P14" i="2"/>
  <c r="P16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4" i="2"/>
  <c r="N4" i="2"/>
  <c r="N5" i="2"/>
  <c r="Q5" i="2" s="1"/>
  <c r="N6" i="2"/>
  <c r="N7" i="2"/>
  <c r="Q7" i="2" s="1"/>
  <c r="N8" i="2"/>
  <c r="N9" i="2"/>
  <c r="N10" i="2"/>
  <c r="Q10" i="2" s="1"/>
  <c r="N11" i="2"/>
  <c r="Q11" i="2" s="1"/>
  <c r="N12" i="2"/>
  <c r="N13" i="2"/>
  <c r="Q13" i="2" s="1"/>
  <c r="N14" i="2"/>
  <c r="N15" i="2"/>
  <c r="Q15" i="2" s="1"/>
  <c r="N16" i="2"/>
  <c r="N17" i="2"/>
  <c r="N18" i="2"/>
  <c r="Q18" i="2" s="1"/>
  <c r="N19" i="2"/>
  <c r="Q19" i="2" s="1"/>
  <c r="N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K19" i="2"/>
  <c r="K1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L25" i="83" l="1"/>
  <c r="L25" i="82"/>
  <c r="D26" i="86"/>
  <c r="L26" i="86" s="1"/>
  <c r="L25" i="77"/>
  <c r="L25" i="71"/>
  <c r="L25" i="78"/>
  <c r="C12" i="71"/>
  <c r="D13" i="71"/>
  <c r="G15" i="71"/>
  <c r="G13" i="72"/>
  <c r="H15" i="72"/>
  <c r="C12" i="73"/>
  <c r="H13" i="73"/>
  <c r="D12" i="74"/>
  <c r="G12" i="75"/>
  <c r="H12" i="76"/>
  <c r="D14" i="76"/>
  <c r="G14" i="77"/>
  <c r="C13" i="78"/>
  <c r="D13" i="79"/>
  <c r="G13" i="80"/>
  <c r="C12" i="81"/>
  <c r="H13" i="81"/>
  <c r="D12" i="82"/>
  <c r="G12" i="83"/>
  <c r="H12" i="84"/>
  <c r="D14" i="84"/>
  <c r="D13" i="78"/>
  <c r="H13" i="71"/>
  <c r="G12" i="73"/>
  <c r="G12" i="81"/>
  <c r="D12" i="71"/>
  <c r="G12" i="72"/>
  <c r="H12" i="73"/>
  <c r="H26" i="73" s="1"/>
  <c r="G14" i="74"/>
  <c r="D13" i="76"/>
  <c r="G13" i="77"/>
  <c r="C12" i="78"/>
  <c r="D12" i="79"/>
  <c r="G12" i="80"/>
  <c r="H12" i="81"/>
  <c r="G14" i="82"/>
  <c r="C13" i="83"/>
  <c r="D13" i="84"/>
  <c r="C12" i="72"/>
  <c r="D12" i="72"/>
  <c r="H13" i="79"/>
  <c r="D12" i="80"/>
  <c r="G12" i="71"/>
  <c r="C14" i="71"/>
  <c r="H12" i="72"/>
  <c r="L25" i="73"/>
  <c r="G14" i="73"/>
  <c r="C13" i="74"/>
  <c r="G13" i="76"/>
  <c r="C12" i="77"/>
  <c r="H13" i="77"/>
  <c r="D12" i="78"/>
  <c r="G12" i="79"/>
  <c r="C14" i="79"/>
  <c r="H12" i="80"/>
  <c r="L25" i="81"/>
  <c r="G14" i="81"/>
  <c r="C13" i="82"/>
  <c r="H14" i="82"/>
  <c r="D13" i="83"/>
  <c r="G13" i="84"/>
  <c r="C12" i="85"/>
  <c r="G12" i="1"/>
  <c r="H15" i="71"/>
  <c r="D12" i="73"/>
  <c r="G12" i="74"/>
  <c r="H12" i="75"/>
  <c r="G14" i="76"/>
  <c r="C13" i="77"/>
  <c r="C12" i="80"/>
  <c r="G12" i="82"/>
  <c r="H12" i="83"/>
  <c r="G13" i="78"/>
  <c r="C12" i="79"/>
  <c r="H12" i="82"/>
  <c r="C13" i="84"/>
  <c r="Q17" i="2"/>
  <c r="Q9" i="2"/>
  <c r="H12" i="71"/>
  <c r="D14" i="71"/>
  <c r="G14" i="72"/>
  <c r="D13" i="74"/>
  <c r="G13" i="75"/>
  <c r="C12" i="76"/>
  <c r="H13" i="76"/>
  <c r="D12" i="77"/>
  <c r="G12" i="78"/>
  <c r="C14" i="78"/>
  <c r="H12" i="79"/>
  <c r="D14" i="79"/>
  <c r="L25" i="80"/>
  <c r="C13" i="81"/>
  <c r="D13" i="82"/>
  <c r="G15" i="82"/>
  <c r="C12" i="84"/>
  <c r="H13" i="84"/>
  <c r="D12" i="85"/>
  <c r="H12" i="1"/>
  <c r="C14" i="74"/>
  <c r="G13" i="79"/>
  <c r="H13" i="80"/>
  <c r="D12" i="81"/>
  <c r="H12" i="74"/>
  <c r="D14" i="74"/>
  <c r="C13" i="76"/>
  <c r="D13" i="77"/>
  <c r="G14" i="71"/>
  <c r="H14" i="72"/>
  <c r="G13" i="74"/>
  <c r="C12" i="75"/>
  <c r="H13" i="75"/>
  <c r="D12" i="76"/>
  <c r="G12" i="77"/>
  <c r="C14" i="77"/>
  <c r="H12" i="78"/>
  <c r="D14" i="78"/>
  <c r="G14" i="79"/>
  <c r="C13" i="80"/>
  <c r="D13" i="81"/>
  <c r="G13" i="82"/>
  <c r="H15" i="82"/>
  <c r="C12" i="83"/>
  <c r="H13" i="83"/>
  <c r="D12" i="84"/>
  <c r="G13" i="1"/>
  <c r="G13" i="71"/>
  <c r="H13" i="72"/>
  <c r="C13" i="71"/>
  <c r="H14" i="71"/>
  <c r="D13" i="72"/>
  <c r="G15" i="72"/>
  <c r="G13" i="73"/>
  <c r="C12" i="74"/>
  <c r="H13" i="74"/>
  <c r="D12" i="75"/>
  <c r="G12" i="76"/>
  <c r="C14" i="76"/>
  <c r="H12" i="77"/>
  <c r="D14" i="77"/>
  <c r="C13" i="79"/>
  <c r="D13" i="80"/>
  <c r="G13" i="81"/>
  <c r="C12" i="82"/>
  <c r="H13" i="82"/>
  <c r="D12" i="83"/>
  <c r="G12" i="84"/>
  <c r="C14" i="84"/>
  <c r="L25" i="72"/>
  <c r="Q16" i="2"/>
  <c r="Q8" i="2"/>
  <c r="Q14" i="2"/>
  <c r="Q6" i="2"/>
  <c r="Q12" i="2"/>
  <c r="Q4" i="2"/>
  <c r="H26" i="85" l="1"/>
  <c r="D26" i="84"/>
  <c r="D26" i="83"/>
  <c r="H26" i="82"/>
  <c r="D26" i="75"/>
  <c r="D26" i="71"/>
  <c r="H26" i="78"/>
  <c r="H26" i="83"/>
  <c r="D26" i="78"/>
  <c r="D26" i="80"/>
  <c r="H26" i="81"/>
  <c r="D26" i="82"/>
  <c r="L26" i="82" s="1"/>
  <c r="D26" i="77"/>
  <c r="D26" i="72"/>
  <c r="D26" i="85"/>
  <c r="D26" i="79"/>
  <c r="H26" i="76"/>
  <c r="H26" i="74"/>
  <c r="H26" i="72"/>
  <c r="H26" i="71"/>
  <c r="H26" i="75"/>
  <c r="H26" i="80"/>
  <c r="H26" i="84"/>
  <c r="H26" i="77"/>
  <c r="D26" i="81"/>
  <c r="D26" i="74"/>
  <c r="D26" i="76"/>
  <c r="H26" i="79"/>
  <c r="D26" i="73"/>
  <c r="D14" i="1"/>
  <c r="C14" i="1"/>
  <c r="D13" i="1"/>
  <c r="C13" i="1"/>
  <c r="L26" i="80" l="1"/>
  <c r="L26" i="85"/>
  <c r="L26" i="84"/>
  <c r="L26" i="83"/>
  <c r="L26" i="81"/>
  <c r="L26" i="79"/>
  <c r="L26" i="78"/>
  <c r="L26" i="77"/>
  <c r="L26" i="75"/>
  <c r="L26" i="74"/>
  <c r="L26" i="72"/>
  <c r="L26" i="71"/>
  <c r="L26" i="73"/>
  <c r="L26" i="76"/>
  <c r="Q3" i="24"/>
  <c r="R3" i="24"/>
  <c r="S3" i="24"/>
  <c r="U3" i="24"/>
  <c r="Q4" i="24"/>
  <c r="R4" i="24"/>
  <c r="S4" i="24"/>
  <c r="U4" i="24"/>
  <c r="Q5" i="24"/>
  <c r="R5" i="24"/>
  <c r="S5" i="24"/>
  <c r="U5" i="24"/>
  <c r="Q6" i="24"/>
  <c r="R6" i="24"/>
  <c r="S6" i="24"/>
  <c r="U6" i="24"/>
  <c r="Q7" i="24"/>
  <c r="R7" i="24"/>
  <c r="S7" i="24"/>
  <c r="U7" i="24"/>
  <c r="J3" i="72" s="1"/>
  <c r="Q8" i="24"/>
  <c r="R8" i="24"/>
  <c r="S8" i="24"/>
  <c r="U8" i="24"/>
  <c r="Q9" i="24"/>
  <c r="R9" i="24"/>
  <c r="S9" i="24"/>
  <c r="U9" i="24"/>
  <c r="Q10" i="24"/>
  <c r="R10" i="24"/>
  <c r="S10" i="24"/>
  <c r="U10" i="24"/>
  <c r="Q11" i="24"/>
  <c r="R11" i="24"/>
  <c r="S11" i="24"/>
  <c r="U11" i="24"/>
  <c r="Q12" i="24"/>
  <c r="R12" i="24"/>
  <c r="S12" i="24"/>
  <c r="U12" i="24"/>
  <c r="Q13" i="24"/>
  <c r="R13" i="24"/>
  <c r="S13" i="24"/>
  <c r="U13" i="24"/>
  <c r="Q14" i="24"/>
  <c r="R14" i="24"/>
  <c r="S14" i="24"/>
  <c r="U14" i="24"/>
  <c r="Q15" i="24"/>
  <c r="R15" i="24"/>
  <c r="S15" i="24"/>
  <c r="U15" i="24"/>
  <c r="Q16" i="24"/>
  <c r="R16" i="24"/>
  <c r="S16" i="24"/>
  <c r="U16" i="24"/>
  <c r="Q17" i="24"/>
  <c r="R17" i="24"/>
  <c r="S17" i="24"/>
  <c r="U17" i="24"/>
  <c r="Q18" i="24"/>
  <c r="R18" i="24"/>
  <c r="S18" i="24"/>
  <c r="U18" i="24"/>
  <c r="Q19" i="24"/>
  <c r="R19" i="24"/>
  <c r="S19" i="24"/>
  <c r="U19" i="24"/>
  <c r="Q20" i="24"/>
  <c r="R20" i="24"/>
  <c r="S20" i="24"/>
  <c r="U20" i="24"/>
  <c r="Q21" i="24"/>
  <c r="R21" i="24"/>
  <c r="S21" i="24"/>
  <c r="U21" i="24"/>
  <c r="Q22" i="24"/>
  <c r="R22" i="24"/>
  <c r="S22" i="24"/>
  <c r="U22" i="24"/>
  <c r="Q23" i="24"/>
  <c r="R23" i="24"/>
  <c r="S23" i="24"/>
  <c r="U23" i="24"/>
  <c r="Q24" i="24"/>
  <c r="R24" i="24"/>
  <c r="S24" i="24"/>
  <c r="U24" i="24"/>
  <c r="Q25" i="24"/>
  <c r="R25" i="24"/>
  <c r="S25" i="24"/>
  <c r="U25" i="24"/>
  <c r="Q26" i="24"/>
  <c r="R26" i="24"/>
  <c r="S26" i="24"/>
  <c r="U26" i="24"/>
  <c r="Q27" i="24"/>
  <c r="R27" i="24"/>
  <c r="S27" i="24"/>
  <c r="U27" i="24"/>
  <c r="Q28" i="24"/>
  <c r="R28" i="24"/>
  <c r="S28" i="24"/>
  <c r="U28" i="24"/>
  <c r="Q29" i="24"/>
  <c r="R29" i="24"/>
  <c r="S29" i="24"/>
  <c r="U29" i="24"/>
  <c r="Q30" i="24"/>
  <c r="R30" i="24"/>
  <c r="S30" i="24"/>
  <c r="U30" i="24"/>
  <c r="Q31" i="24"/>
  <c r="R31" i="24"/>
  <c r="S31" i="24"/>
  <c r="U31" i="24"/>
  <c r="Q32" i="24"/>
  <c r="R32" i="24"/>
  <c r="S32" i="24"/>
  <c r="U32" i="24"/>
  <c r="Q33" i="24"/>
  <c r="R33" i="24"/>
  <c r="S33" i="24"/>
  <c r="U33" i="24"/>
  <c r="Q34" i="24"/>
  <c r="R34" i="24"/>
  <c r="S34" i="24"/>
  <c r="U34" i="24"/>
  <c r="Q35" i="24"/>
  <c r="R35" i="24"/>
  <c r="S35" i="24"/>
  <c r="U35" i="24"/>
  <c r="Q36" i="24"/>
  <c r="R36" i="24"/>
  <c r="S36" i="24"/>
  <c r="U36" i="24"/>
  <c r="Q37" i="24"/>
  <c r="R37" i="24"/>
  <c r="S37" i="24"/>
  <c r="U37" i="24"/>
  <c r="Q38" i="24"/>
  <c r="R38" i="24"/>
  <c r="S38" i="24"/>
  <c r="U38" i="24"/>
  <c r="Q39" i="24"/>
  <c r="R39" i="24"/>
  <c r="S39" i="24"/>
  <c r="U39" i="24"/>
  <c r="Q40" i="24"/>
  <c r="R40" i="24"/>
  <c r="S40" i="24"/>
  <c r="U40" i="24"/>
  <c r="Q41" i="24"/>
  <c r="R41" i="24"/>
  <c r="S41" i="24"/>
  <c r="U41" i="24"/>
  <c r="Q42" i="24"/>
  <c r="R42" i="24"/>
  <c r="S42" i="24"/>
  <c r="U42" i="24"/>
  <c r="Q43" i="24"/>
  <c r="R43" i="24"/>
  <c r="S43" i="24"/>
  <c r="U43" i="24"/>
  <c r="Q44" i="24"/>
  <c r="R44" i="24"/>
  <c r="S44" i="24"/>
  <c r="U44" i="24"/>
  <c r="Q45" i="24"/>
  <c r="R45" i="24"/>
  <c r="S45" i="24"/>
  <c r="U45" i="24"/>
  <c r="Q46" i="24"/>
  <c r="R46" i="24"/>
  <c r="S46" i="24"/>
  <c r="U46" i="24"/>
  <c r="Q47" i="24"/>
  <c r="R47" i="24"/>
  <c r="S47" i="24"/>
  <c r="U47" i="24"/>
  <c r="Q48" i="24"/>
  <c r="R48" i="24"/>
  <c r="S48" i="24"/>
  <c r="U48" i="24"/>
  <c r="Q49" i="24"/>
  <c r="R49" i="24"/>
  <c r="S49" i="24"/>
  <c r="U49" i="24"/>
  <c r="Q50" i="24"/>
  <c r="R50" i="24"/>
  <c r="S50" i="24"/>
  <c r="U50" i="24"/>
  <c r="Q51" i="24"/>
  <c r="R51" i="24"/>
  <c r="S51" i="24"/>
  <c r="U51" i="24"/>
  <c r="Q52" i="24"/>
  <c r="R52" i="24"/>
  <c r="S52" i="24"/>
  <c r="U52" i="24"/>
  <c r="Q53" i="24"/>
  <c r="R53" i="24"/>
  <c r="S53" i="24"/>
  <c r="U53" i="24"/>
  <c r="Q54" i="24"/>
  <c r="R54" i="24"/>
  <c r="S54" i="24"/>
  <c r="U54" i="24"/>
  <c r="Q55" i="24"/>
  <c r="R55" i="24"/>
  <c r="S55" i="24"/>
  <c r="U55" i="24"/>
  <c r="Q56" i="24"/>
  <c r="R56" i="24"/>
  <c r="S56" i="24"/>
  <c r="U56" i="24"/>
  <c r="Q57" i="24"/>
  <c r="R57" i="24"/>
  <c r="S57" i="24"/>
  <c r="U57" i="24"/>
  <c r="Q58" i="24"/>
  <c r="R58" i="24"/>
  <c r="S58" i="24"/>
  <c r="U58" i="24"/>
  <c r="Q59" i="24"/>
  <c r="R59" i="24"/>
  <c r="S59" i="24"/>
  <c r="U59" i="24"/>
  <c r="Q60" i="24"/>
  <c r="R60" i="24"/>
  <c r="S60" i="24"/>
  <c r="U60" i="24"/>
  <c r="Q61" i="24"/>
  <c r="R61" i="24"/>
  <c r="S61" i="24"/>
  <c r="U61" i="24"/>
  <c r="Q62" i="24"/>
  <c r="R62" i="24"/>
  <c r="S62" i="24"/>
  <c r="U62" i="24"/>
  <c r="Q63" i="24"/>
  <c r="R63" i="24"/>
  <c r="S63" i="24"/>
  <c r="U63" i="24"/>
  <c r="Q64" i="24"/>
  <c r="R64" i="24"/>
  <c r="S64" i="24"/>
  <c r="U64" i="24"/>
  <c r="Q65" i="24"/>
  <c r="R65" i="24"/>
  <c r="S65" i="24"/>
  <c r="U65" i="24"/>
  <c r="Q66" i="24"/>
  <c r="R66" i="24"/>
  <c r="S66" i="24"/>
  <c r="U66" i="24"/>
  <c r="Q67" i="24"/>
  <c r="R67" i="24"/>
  <c r="S67" i="24"/>
  <c r="U67" i="24"/>
  <c r="Q68" i="24"/>
  <c r="R68" i="24"/>
  <c r="S68" i="24"/>
  <c r="U68" i="24"/>
  <c r="Q69" i="24"/>
  <c r="R69" i="24"/>
  <c r="S69" i="24"/>
  <c r="U69" i="24"/>
  <c r="Q70" i="24"/>
  <c r="R70" i="24"/>
  <c r="S70" i="24"/>
  <c r="U70" i="24"/>
  <c r="Q71" i="24"/>
  <c r="R71" i="24"/>
  <c r="S71" i="24"/>
  <c r="U71" i="24"/>
  <c r="Q72" i="24"/>
  <c r="R72" i="24"/>
  <c r="S72" i="24"/>
  <c r="U72" i="24"/>
  <c r="Q73" i="24"/>
  <c r="R73" i="24"/>
  <c r="S73" i="24"/>
  <c r="U73" i="24"/>
  <c r="Q74" i="24"/>
  <c r="R74" i="24"/>
  <c r="S74" i="24"/>
  <c r="U74" i="24"/>
  <c r="Q75" i="24"/>
  <c r="R75" i="24"/>
  <c r="S75" i="24"/>
  <c r="U75" i="24"/>
  <c r="Q76" i="24"/>
  <c r="R76" i="24"/>
  <c r="S76" i="24"/>
  <c r="U76" i="24"/>
  <c r="Q77" i="24"/>
  <c r="R77" i="24"/>
  <c r="S77" i="24"/>
  <c r="U77" i="24"/>
  <c r="Q78" i="24"/>
  <c r="R78" i="24"/>
  <c r="S78" i="24"/>
  <c r="U78" i="24"/>
  <c r="Q79" i="24"/>
  <c r="R79" i="24"/>
  <c r="S79" i="24"/>
  <c r="U79" i="24"/>
  <c r="Q80" i="24"/>
  <c r="R80" i="24"/>
  <c r="S80" i="24"/>
  <c r="U80" i="24"/>
  <c r="Q81" i="24"/>
  <c r="R81" i="24"/>
  <c r="S81" i="24"/>
  <c r="U81" i="24"/>
  <c r="Q82" i="24"/>
  <c r="R82" i="24"/>
  <c r="S82" i="24"/>
  <c r="U82" i="24"/>
  <c r="Q83" i="24"/>
  <c r="R83" i="24"/>
  <c r="S83" i="24"/>
  <c r="U83" i="24"/>
  <c r="Q84" i="24"/>
  <c r="R84" i="24"/>
  <c r="S84" i="24"/>
  <c r="U84" i="24"/>
  <c r="Q85" i="24"/>
  <c r="R85" i="24"/>
  <c r="F3" i="86" s="1"/>
  <c r="S85" i="24"/>
  <c r="U85" i="24"/>
  <c r="Q86" i="24"/>
  <c r="R86" i="24"/>
  <c r="S86" i="24"/>
  <c r="U86" i="24"/>
  <c r="U2" i="24"/>
  <c r="S2" i="24"/>
  <c r="J2" i="86" s="1"/>
  <c r="R2" i="24"/>
  <c r="H2" i="86" s="1"/>
  <c r="Q2" i="24"/>
  <c r="AA1" i="24"/>
  <c r="AB1" i="24" s="1"/>
  <c r="F3" i="72" l="1"/>
  <c r="T64" i="24"/>
  <c r="T58" i="24"/>
  <c r="T56" i="24"/>
  <c r="T66" i="24"/>
  <c r="T35" i="24"/>
  <c r="T19" i="24"/>
  <c r="T2" i="24"/>
  <c r="T12" i="24"/>
  <c r="T14" i="24"/>
  <c r="H2" i="1"/>
  <c r="H2" i="83"/>
  <c r="H2" i="75"/>
  <c r="H2" i="84"/>
  <c r="H2" i="76"/>
  <c r="H2" i="81"/>
  <c r="H2" i="85"/>
  <c r="H2" i="77"/>
  <c r="H2" i="80"/>
  <c r="H2" i="78"/>
  <c r="H2" i="73"/>
  <c r="H2" i="79"/>
  <c r="H2" i="71"/>
  <c r="H2" i="72"/>
  <c r="H2" i="82"/>
  <c r="H2" i="74"/>
  <c r="J2" i="1"/>
  <c r="J2" i="84"/>
  <c r="J2" i="76"/>
  <c r="J2" i="85"/>
  <c r="J2" i="77"/>
  <c r="J2" i="82"/>
  <c r="J2" i="78"/>
  <c r="J2" i="74"/>
  <c r="J2" i="79"/>
  <c r="J2" i="71"/>
  <c r="J2" i="81"/>
  <c r="J2" i="73"/>
  <c r="J2" i="80"/>
  <c r="J2" i="72"/>
  <c r="J2" i="83"/>
  <c r="J2" i="75"/>
  <c r="T61" i="24"/>
  <c r="T51" i="24"/>
  <c r="J3" i="1"/>
  <c r="J3" i="80"/>
  <c r="J3" i="81"/>
  <c r="J3" i="73"/>
  <c r="J3" i="82"/>
  <c r="J3" i="74"/>
  <c r="J3" i="83"/>
  <c r="J3" i="75"/>
  <c r="J3" i="85"/>
  <c r="J3" i="77"/>
  <c r="J3" i="84"/>
  <c r="J3" i="76"/>
  <c r="J3" i="79"/>
  <c r="J3" i="71"/>
  <c r="J3" i="78"/>
  <c r="T15" i="24"/>
  <c r="T11" i="24"/>
  <c r="T9" i="24"/>
  <c r="T7" i="24"/>
  <c r="H3" i="72" s="1"/>
  <c r="T3" i="24"/>
  <c r="T83" i="24"/>
  <c r="T63" i="24"/>
  <c r="T75" i="24"/>
  <c r="F3" i="1"/>
  <c r="F3" i="78"/>
  <c r="F3" i="75"/>
  <c r="F3" i="84"/>
  <c r="F3" i="79"/>
  <c r="F3" i="71"/>
  <c r="F3" i="80"/>
  <c r="F3" i="81"/>
  <c r="F3" i="73"/>
  <c r="F3" i="82"/>
  <c r="F3" i="74"/>
  <c r="F3" i="76"/>
  <c r="F3" i="85"/>
  <c r="F3" i="77"/>
  <c r="F3" i="83"/>
  <c r="T82" i="24"/>
  <c r="T46" i="24"/>
  <c r="T44" i="24"/>
  <c r="T34" i="24"/>
  <c r="T32" i="24"/>
  <c r="T26" i="24"/>
  <c r="T24" i="24"/>
  <c r="T76" i="24"/>
  <c r="T79" i="24"/>
  <c r="T67" i="24"/>
  <c r="T78" i="24"/>
  <c r="T71" i="24"/>
  <c r="T59" i="24"/>
  <c r="T55" i="24"/>
  <c r="T47" i="24"/>
  <c r="T39" i="24"/>
  <c r="T49" i="24"/>
  <c r="T43" i="24"/>
  <c r="T41" i="24"/>
  <c r="T31" i="24"/>
  <c r="T29" i="24"/>
  <c r="T27" i="24"/>
  <c r="T23" i="24"/>
  <c r="T80" i="24"/>
  <c r="T57" i="24"/>
  <c r="T42" i="24"/>
  <c r="T40" i="24"/>
  <c r="T25" i="24"/>
  <c r="T10" i="24"/>
  <c r="T8" i="24"/>
  <c r="T70" i="24"/>
  <c r="T68" i="24"/>
  <c r="T53" i="24"/>
  <c r="T38" i="24"/>
  <c r="T36" i="24"/>
  <c r="T21" i="24"/>
  <c r="T6" i="24"/>
  <c r="T4" i="24"/>
  <c r="T17" i="24"/>
  <c r="T85" i="24"/>
  <c r="H3" i="86" s="1"/>
  <c r="T81" i="24"/>
  <c r="T77" i="24"/>
  <c r="T62" i="24"/>
  <c r="T60" i="24"/>
  <c r="T45" i="24"/>
  <c r="T30" i="24"/>
  <c r="T28" i="24"/>
  <c r="T13" i="24"/>
  <c r="T72" i="24"/>
  <c r="T73" i="24"/>
  <c r="T74" i="24"/>
  <c r="T86" i="24"/>
  <c r="T84" i="24"/>
  <c r="T69" i="24"/>
  <c r="T54" i="24"/>
  <c r="T52" i="24"/>
  <c r="T37" i="24"/>
  <c r="T22" i="24"/>
  <c r="T20" i="24"/>
  <c r="T5" i="24"/>
  <c r="T65" i="24"/>
  <c r="T50" i="24"/>
  <c r="T48" i="24"/>
  <c r="T33" i="24"/>
  <c r="T18" i="24"/>
  <c r="T16" i="24"/>
  <c r="K8" i="1"/>
  <c r="E8" i="1"/>
  <c r="B8" i="1"/>
  <c r="A8" i="1"/>
  <c r="I6" i="1"/>
  <c r="E6" i="1"/>
  <c r="B6" i="1"/>
  <c r="H3" i="1" l="1"/>
  <c r="H3" i="79"/>
  <c r="H3" i="71"/>
  <c r="H3" i="80"/>
  <c r="H3" i="84"/>
  <c r="H3" i="81"/>
  <c r="H3" i="73"/>
  <c r="H3" i="76"/>
  <c r="H3" i="82"/>
  <c r="H3" i="74"/>
  <c r="H3" i="77"/>
  <c r="H3" i="83"/>
  <c r="H3" i="75"/>
  <c r="H3" i="85"/>
  <c r="H3" i="78"/>
  <c r="D12" i="1"/>
  <c r="C12" i="1"/>
  <c r="K3" i="2" l="1"/>
  <c r="M4" i="2"/>
  <c r="P4" i="2" s="1"/>
  <c r="M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V18" i="3" l="1"/>
  <c r="V19" i="3"/>
  <c r="V17" i="3" l="1"/>
  <c r="V6" i="3" l="1"/>
  <c r="V8" i="3"/>
  <c r="V9" i="3"/>
  <c r="V10" i="3"/>
  <c r="V11" i="3"/>
  <c r="V12" i="3"/>
  <c r="V13" i="3"/>
  <c r="V14" i="3"/>
  <c r="V15" i="3"/>
  <c r="V16" i="3"/>
  <c r="L2" i="1" l="1"/>
  <c r="I8" i="1"/>
  <c r="C8" i="1"/>
  <c r="L3" i="2" l="1"/>
  <c r="G3" i="2" l="1"/>
  <c r="H3" i="2" l="1"/>
  <c r="F3" i="2"/>
  <c r="E3" i="2"/>
  <c r="V5" i="3" l="1"/>
  <c r="V4" i="3"/>
  <c r="H26" i="1" l="1"/>
  <c r="L26" i="1" l="1"/>
  <c r="R19" i="2" l="1"/>
  <c r="I16" i="23"/>
  <c r="I2" i="23" l="1"/>
  <c r="R7" i="2" l="1"/>
  <c r="R8" i="2"/>
  <c r="R10" i="2"/>
  <c r="I11" i="23"/>
  <c r="R9" i="2"/>
  <c r="R15" i="2"/>
  <c r="I14" i="23"/>
  <c r="R4" i="2"/>
  <c r="R13" i="2"/>
  <c r="I12" i="23"/>
  <c r="R6" i="2"/>
  <c r="R12" i="2"/>
  <c r="I3" i="23"/>
  <c r="I13" i="23"/>
  <c r="I4" i="23"/>
  <c r="I8" i="23"/>
  <c r="I18" i="23"/>
  <c r="I9" i="23"/>
  <c r="I6" i="23"/>
  <c r="I15" i="23"/>
  <c r="I7" i="23"/>
  <c r="R18" i="2"/>
  <c r="R17" i="2"/>
  <c r="O3" i="2"/>
  <c r="Q3" i="2" s="1"/>
  <c r="I5" i="23"/>
  <c r="R5" i="2"/>
  <c r="G19" i="23" l="1"/>
  <c r="R14" i="2"/>
  <c r="L12" i="1"/>
  <c r="I17" i="23"/>
  <c r="L13" i="1"/>
  <c r="N20" i="2" l="1"/>
  <c r="R16" i="2"/>
  <c r="H19" i="23"/>
  <c r="I10" i="23"/>
  <c r="I19" i="23" s="1"/>
  <c r="L25" i="1"/>
  <c r="R11" i="2" l="1"/>
  <c r="O20" i="2"/>
</calcChain>
</file>

<file path=xl/sharedStrings.xml><?xml version="1.0" encoding="utf-8"?>
<sst xmlns="http://schemas.openxmlformats.org/spreadsheetml/2006/main" count="5517" uniqueCount="606">
  <si>
    <t>BOLETA DE PAGO</t>
  </si>
  <si>
    <t>EMPLEADO</t>
  </si>
  <si>
    <t># AG ESSALUD</t>
  </si>
  <si>
    <t>CODIGO EMPRESA</t>
  </si>
  <si>
    <t>EMPRESA</t>
  </si>
  <si>
    <t>CLARKE, MODET &amp; CO. PERU S.A.C.</t>
  </si>
  <si>
    <t>R.U.C.</t>
  </si>
  <si>
    <t>20256396000</t>
  </si>
  <si>
    <t>MES</t>
  </si>
  <si>
    <t>AÑO</t>
  </si>
  <si>
    <t>F. INGRESO</t>
  </si>
  <si>
    <t>#</t>
  </si>
  <si>
    <t>1007874085</t>
  </si>
  <si>
    <t>7103230ROCIR001</t>
  </si>
  <si>
    <t>07874085</t>
  </si>
  <si>
    <t>PERIODO</t>
  </si>
  <si>
    <t>DEL</t>
  </si>
  <si>
    <t>AL</t>
  </si>
  <si>
    <t>F. RETIRO</t>
  </si>
  <si>
    <t>1040703418</t>
  </si>
  <si>
    <t>8010280CCCAF009</t>
  </si>
  <si>
    <t>40703418</t>
  </si>
  <si>
    <t>1044771836</t>
  </si>
  <si>
    <t>8801041FRSRR003</t>
  </si>
  <si>
    <t>44771836</t>
  </si>
  <si>
    <t>CÓDIGO</t>
  </si>
  <si>
    <t>NOMBRES Y APELLIDOS</t>
  </si>
  <si>
    <t>CARGO</t>
  </si>
  <si>
    <t>AREA</t>
  </si>
  <si>
    <t>1045191394</t>
  </si>
  <si>
    <t>8804121AABTA003</t>
  </si>
  <si>
    <t>45191394</t>
  </si>
  <si>
    <t>1046129072</t>
  </si>
  <si>
    <t>9001180LACDL001</t>
  </si>
  <si>
    <t>46129072</t>
  </si>
  <si>
    <t>D.N.I.</t>
  </si>
  <si>
    <t>CUSPP AFP</t>
  </si>
  <si>
    <t>SALARIO</t>
  </si>
  <si>
    <t>MONEDA</t>
  </si>
  <si>
    <t>A.F.P.</t>
  </si>
  <si>
    <t>1046722547</t>
  </si>
  <si>
    <t>9012261KORJF003</t>
  </si>
  <si>
    <t>46722547</t>
  </si>
  <si>
    <t>SOL</t>
  </si>
  <si>
    <t>1047924040</t>
  </si>
  <si>
    <t>9307160NREIM001</t>
  </si>
  <si>
    <t>47924040</t>
  </si>
  <si>
    <t>1070165336</t>
  </si>
  <si>
    <t>N/A</t>
  </si>
  <si>
    <t>70165336</t>
  </si>
  <si>
    <t>REMUNERACIONES</t>
  </si>
  <si>
    <t>DESCUENTOS TRABAJADOR</t>
  </si>
  <si>
    <t>APORTACIONES EMPLEADOR</t>
  </si>
  <si>
    <t>1070680748</t>
  </si>
  <si>
    <t>70680748</t>
  </si>
  <si>
    <t>CONCEPTO</t>
  </si>
  <si>
    <t>HORAS</t>
  </si>
  <si>
    <t>VALOR</t>
  </si>
  <si>
    <t>1072251509</t>
  </si>
  <si>
    <t>9009250HMTRC002</t>
  </si>
  <si>
    <t>72251509</t>
  </si>
  <si>
    <t>A000 SUELDO BASICO</t>
  </si>
  <si>
    <t>R000 RETENCION IMPUESTO A LA RENTA</t>
  </si>
  <si>
    <t>APORTE A ESSALUD</t>
  </si>
  <si>
    <t>42683912</t>
  </si>
  <si>
    <t>309631GHMAI4</t>
  </si>
  <si>
    <t>A012 ASIGNACION FAMILIAR</t>
  </si>
  <si>
    <t>S006 DESCUENTO EPS</t>
  </si>
  <si>
    <t>CREDITO EPS</t>
  </si>
  <si>
    <t>1077485287</t>
  </si>
  <si>
    <t>655610ZCBIT4</t>
  </si>
  <si>
    <t>77485287</t>
  </si>
  <si>
    <t>D013 AUXILIO DE MOVILIDAD</t>
  </si>
  <si>
    <t>2001252358</t>
  </si>
  <si>
    <t>8910201MQXXJ002</t>
  </si>
  <si>
    <t>001252358</t>
  </si>
  <si>
    <t>G006 VACACIONES</t>
  </si>
  <si>
    <t>72836862</t>
  </si>
  <si>
    <t>663680JMDIO1</t>
  </si>
  <si>
    <t>75203640</t>
  </si>
  <si>
    <t>76607245</t>
  </si>
  <si>
    <t>42115329</t>
  </si>
  <si>
    <t>TOTAL APORTE EMPLEADOR</t>
  </si>
  <si>
    <t>REMUNERACION TOTAL</t>
  </si>
  <si>
    <t>DESCUENTOS TOTALES</t>
  </si>
  <si>
    <t>REMUNERACION NETA</t>
  </si>
  <si>
    <t>REPRESENTANTE LEGAL</t>
  </si>
  <si>
    <t>RECIBI CONFORME TRABAJADOR</t>
  </si>
  <si>
    <t>I100 APORTE OBLIGATORIO AFP</t>
  </si>
  <si>
    <t>I200 SOBREVIVENCIA AFP</t>
  </si>
  <si>
    <t>I300 COMISION VARIABLE AFP</t>
  </si>
  <si>
    <t>A006 SUBVENCION ECONOMICA</t>
  </si>
  <si>
    <t>Estructura</t>
  </si>
  <si>
    <t>LLAVE</t>
  </si>
  <si>
    <t>NOMBRE COMPLETO</t>
  </si>
  <si>
    <t>DOCTO IDENT</t>
  </si>
  <si>
    <t>F ANTIGUEDAD</t>
  </si>
  <si>
    <t>PERIODO/MES</t>
  </si>
  <si>
    <t>DESCRIPCION CONCEPTO</t>
  </si>
  <si>
    <t>VALOR DEVENGADO</t>
  </si>
  <si>
    <t>VALOR DEDUCCION</t>
  </si>
  <si>
    <t>NETO</t>
  </si>
  <si>
    <t>DIA</t>
  </si>
  <si>
    <t>(Todas)</t>
  </si>
  <si>
    <t>ALVARO JAVIER ARIAS BAUTISTA</t>
  </si>
  <si>
    <t>A000</t>
  </si>
  <si>
    <t>SUELDO BASICO</t>
  </si>
  <si>
    <t>I100</t>
  </si>
  <si>
    <t>APORTE OBLIGATORIO AFP</t>
  </si>
  <si>
    <t>I200</t>
  </si>
  <si>
    <t>SOBREVIVENCIA AFP</t>
  </si>
  <si>
    <t>Suma de VALOR DEVENGADO</t>
  </si>
  <si>
    <t>Suma de VALOR DEDUCCION</t>
  </si>
  <si>
    <t>R000</t>
  </si>
  <si>
    <t>RETENCION IMPUESTO A LA RENTA</t>
  </si>
  <si>
    <t>ZULEMA BELINDA CADILLO BRITO</t>
  </si>
  <si>
    <t>A006</t>
  </si>
  <si>
    <t>SUBVENCION ECONOMICA</t>
  </si>
  <si>
    <t>D013</t>
  </si>
  <si>
    <t>AUXILIO DE MOVILIDAD</t>
  </si>
  <si>
    <t>A012</t>
  </si>
  <si>
    <t>ASIGNACION FAMILIAR</t>
  </si>
  <si>
    <t>G006</t>
  </si>
  <si>
    <t>VACACIONES</t>
  </si>
  <si>
    <t>STEFFANY FELICIA CAICEDO ROSADO</t>
  </si>
  <si>
    <t>FIORELLA GIOVANNA CHICHIZOLA CANALE</t>
  </si>
  <si>
    <t>I300</t>
  </si>
  <si>
    <t>COMISION VARIABLE AFP</t>
  </si>
  <si>
    <t>S006</t>
  </si>
  <si>
    <t>DESCUENTO EPS</t>
  </si>
  <si>
    <t>VICTOR DANIEL FERNANDEZ CASTILLO</t>
  </si>
  <si>
    <t>RONALD FLOREZ SUAREZ</t>
  </si>
  <si>
    <t>GUILLERMO HENRY HIRAOKA MARINA</t>
  </si>
  <si>
    <t>CYNTHIA FIORELLA HUAMAN TORRES</t>
  </si>
  <si>
    <t>FELIX ALEJANDRO KOO RIOJA</t>
  </si>
  <si>
    <t>LAURA CAROLINA LIRA CANDIA</t>
  </si>
  <si>
    <t>JOSE NORBERT MARQUIS XXX</t>
  </si>
  <si>
    <t>JACKELINE NANCY MEJIA DOLORES</t>
  </si>
  <si>
    <t>MARÍA DEL CARMEN NEYRA ELLIOT</t>
  </si>
  <si>
    <t>ROCIO DE LOURDES RAMOS CORI</t>
  </si>
  <si>
    <t>LIZ VALERIA SOLANO CARRILLO</t>
  </si>
  <si>
    <t>SARA MILAGROS SOTO LLOCLLA</t>
  </si>
  <si>
    <t>DOCUMENTO IDENTIDAD</t>
  </si>
  <si>
    <t>OFICIO</t>
  </si>
  <si>
    <t>DESC. OFICIO</t>
  </si>
  <si>
    <t>MARZO</t>
  </si>
  <si>
    <t>CUSSP</t>
  </si>
  <si>
    <t>ESSALUD</t>
  </si>
  <si>
    <t>AFP</t>
  </si>
  <si>
    <t>FECHA ANTIGUEDAD</t>
  </si>
  <si>
    <t>DEVENGADOS</t>
  </si>
  <si>
    <t>DEDUCCIONES</t>
  </si>
  <si>
    <t>NETO A PAGAR</t>
  </si>
  <si>
    <t>Id</t>
  </si>
  <si>
    <t>CUC</t>
  </si>
  <si>
    <t>TipoDocumento</t>
  </si>
  <si>
    <t>NumeroDocumento</t>
  </si>
  <si>
    <t>Trabajador</t>
  </si>
  <si>
    <t>TOTAL APORTES EMPLEADOR</t>
  </si>
  <si>
    <t>DNI</t>
  </si>
  <si>
    <t>SI</t>
  </si>
  <si>
    <t>NO</t>
  </si>
  <si>
    <t>CARNET EXTRANJERÍA</t>
  </si>
  <si>
    <t>CLASE DOCTO</t>
  </si>
  <si>
    <t>NOM CLASE DOCTO</t>
  </si>
  <si>
    <t>APELLIDO</t>
  </si>
  <si>
    <t>NOMBRE</t>
  </si>
  <si>
    <t>TP CONTR</t>
  </si>
  <si>
    <t>CONTRATO</t>
  </si>
  <si>
    <t>F VCMT CONTR</t>
  </si>
  <si>
    <t>F INGRESO</t>
  </si>
  <si>
    <t>TIPO COTIZANTE</t>
  </si>
  <si>
    <t>REL LABORAL</t>
  </si>
  <si>
    <t>NOM REL LABORAL</t>
  </si>
  <si>
    <t>CLASE EMP</t>
  </si>
  <si>
    <t>NOM CLASE EMP</t>
  </si>
  <si>
    <t>TURNO</t>
  </si>
  <si>
    <t>NOM TURNO</t>
  </si>
  <si>
    <t>HORARIO</t>
  </si>
  <si>
    <t>NOM HORARIO</t>
  </si>
  <si>
    <t>F ULT SALAR</t>
  </si>
  <si>
    <t>JORNADA</t>
  </si>
  <si>
    <t>NOM JORNADA</t>
  </si>
  <si>
    <t>PROCEDIMTO</t>
  </si>
  <si>
    <t>PORC RFTE</t>
  </si>
  <si>
    <t>VAR TRA 01</t>
  </si>
  <si>
    <t>VAR TRA 02</t>
  </si>
  <si>
    <t>VAR TRA 03</t>
  </si>
  <si>
    <t>VAR TRA 04</t>
  </si>
  <si>
    <t>VAR TRA 05</t>
  </si>
  <si>
    <t>VAR TRA 06</t>
  </si>
  <si>
    <t>VAR TRA 07</t>
  </si>
  <si>
    <t>VAR TRA 08</t>
  </si>
  <si>
    <t>VAR TRA 09</t>
  </si>
  <si>
    <t>VAR TRA 10</t>
  </si>
  <si>
    <t>EMPLEADO JEFE</t>
  </si>
  <si>
    <t>DOCTO IDENT JEFE</t>
  </si>
  <si>
    <t>NOMBRE JEFE</t>
  </si>
  <si>
    <t>APELLIDO JEFE</t>
  </si>
  <si>
    <t>SEXO</t>
  </si>
  <si>
    <t>ESTADOCIVIL</t>
  </si>
  <si>
    <t>F NACE</t>
  </si>
  <si>
    <t>GRUPO RH</t>
  </si>
  <si>
    <t>NRO HIJOS</t>
  </si>
  <si>
    <t>CIUDAD N</t>
  </si>
  <si>
    <t>CIUDAD NACE</t>
  </si>
  <si>
    <t>DIRECCION</t>
  </si>
  <si>
    <t>TELEFONO</t>
  </si>
  <si>
    <t>CELULAR</t>
  </si>
  <si>
    <t>TELE OFC</t>
  </si>
  <si>
    <t>EXTENSION</t>
  </si>
  <si>
    <t>E MAIL</t>
  </si>
  <si>
    <t>E MAIL2</t>
  </si>
  <si>
    <t>CLASE VAC</t>
  </si>
  <si>
    <t>DESCRIPCIONCLASEVAC</t>
  </si>
  <si>
    <t>BANCO</t>
  </si>
  <si>
    <t>NOM BANCO</t>
  </si>
  <si>
    <t>SUCURSAL BCO</t>
  </si>
  <si>
    <t>NOM SUCURSAL BCO</t>
  </si>
  <si>
    <t>CTA BCO</t>
  </si>
  <si>
    <t>TIPO CTA</t>
  </si>
  <si>
    <t>NOM TIPO CTA</t>
  </si>
  <si>
    <t>F RETIRO</t>
  </si>
  <si>
    <t>REL SINDICAL</t>
  </si>
  <si>
    <t>NOM REL SINDICAL</t>
  </si>
  <si>
    <t>DIVISION</t>
  </si>
  <si>
    <t>NOM DIVISION</t>
  </si>
  <si>
    <t>TIPO NOM</t>
  </si>
  <si>
    <t>CLASE NOM</t>
  </si>
  <si>
    <t>NOMINA</t>
  </si>
  <si>
    <t>SUBDIVISION</t>
  </si>
  <si>
    <t>NOM SUBDIVISION</t>
  </si>
  <si>
    <t>NIVEL</t>
  </si>
  <si>
    <t>NOM NIVEL</t>
  </si>
  <si>
    <t>NOM OFICIO</t>
  </si>
  <si>
    <t>CCOSTO</t>
  </si>
  <si>
    <t>NOM CCOSTO</t>
  </si>
  <si>
    <t>NOM AREA</t>
  </si>
  <si>
    <t>DPTO</t>
  </si>
  <si>
    <t>NOM DPTO</t>
  </si>
  <si>
    <t>GRUPO</t>
  </si>
  <si>
    <t>NOM GRUPO</t>
  </si>
  <si>
    <t>SECCION</t>
  </si>
  <si>
    <t>NOM SECCION</t>
  </si>
  <si>
    <t>PROYECTO</t>
  </si>
  <si>
    <t>NOM PROYECTO</t>
  </si>
  <si>
    <t>PRODUCTO</t>
  </si>
  <si>
    <t>NOM PRODUCTO</t>
  </si>
  <si>
    <t>SUC CIA</t>
  </si>
  <si>
    <t>NOM SUC CIA</t>
  </si>
  <si>
    <t>SUCURSAL</t>
  </si>
  <si>
    <t>NOM SUCURSAL</t>
  </si>
  <si>
    <t>COD ARP</t>
  </si>
  <si>
    <t>ARP</t>
  </si>
  <si>
    <t>COD EPS</t>
  </si>
  <si>
    <t>EPS</t>
  </si>
  <si>
    <t>COD AFP</t>
  </si>
  <si>
    <t>FONDO</t>
  </si>
  <si>
    <t>FCESANTIAS</t>
  </si>
  <si>
    <t>USUARIO</t>
  </si>
  <si>
    <t>CDG CCF</t>
  </si>
  <si>
    <t>DSC CCF</t>
  </si>
  <si>
    <t>UBICACION</t>
  </si>
  <si>
    <t>NOM UBICACION</t>
  </si>
  <si>
    <t>SUBGRUPO</t>
  </si>
  <si>
    <t>NOM SUBGRUPO</t>
  </si>
  <si>
    <t>ANEXO</t>
  </si>
  <si>
    <t>ESTADO</t>
  </si>
  <si>
    <t>FCH MDF</t>
  </si>
  <si>
    <t>DEPENDING1</t>
  </si>
  <si>
    <t>DEPENDING2</t>
  </si>
  <si>
    <t>MOT RETIRO</t>
  </si>
  <si>
    <t>MOTIVO</t>
  </si>
  <si>
    <t>F ULT CONTRATO EMPZ</t>
  </si>
  <si>
    <t>CIUDAD RESID</t>
  </si>
  <si>
    <t>NOM CIUDAD RESID</t>
  </si>
  <si>
    <t>IND P LIQ</t>
  </si>
  <si>
    <t>FORMAPAGO</t>
  </si>
  <si>
    <t>NOM FORMAPAGO</t>
  </si>
  <si>
    <t>CATEGORIA</t>
  </si>
  <si>
    <t>CIUDAD TRABAJA</t>
  </si>
  <si>
    <t>NOM CIUDAD TRABAJA</t>
  </si>
  <si>
    <t>CIUDAD EXP</t>
  </si>
  <si>
    <t>COD CIUD EXP DOCUMENTO</t>
  </si>
  <si>
    <t>DPTO EXP</t>
  </si>
  <si>
    <t>SALARIO MENSUAl</t>
  </si>
  <si>
    <t>SALARIO HORA</t>
  </si>
  <si>
    <t>CNSEMPB</t>
  </si>
  <si>
    <t>DES TIPO SAL</t>
  </si>
  <si>
    <t>TIPO SAL</t>
  </si>
  <si>
    <t>SALARIOFLEX</t>
  </si>
  <si>
    <t>SALARIOREAL</t>
  </si>
  <si>
    <t>TOTDIASPEND VAC</t>
  </si>
  <si>
    <t>IDPROFESION</t>
  </si>
  <si>
    <t>PROFESION</t>
  </si>
  <si>
    <t>NIVEL EDU</t>
  </si>
  <si>
    <t>NOM NIVEL EDU</t>
  </si>
  <si>
    <t>DIR OFC</t>
  </si>
  <si>
    <t>P CARGO</t>
  </si>
  <si>
    <t>FACTORRIESGOARL</t>
  </si>
  <si>
    <t>TIPOCUENTA</t>
  </si>
  <si>
    <t>PROPIEDADCUENTA</t>
  </si>
  <si>
    <t>NOMBREEMPRESA</t>
  </si>
  <si>
    <t>CODBANCOEMPRESA</t>
  </si>
  <si>
    <t>NOM BANCOEMPRESA</t>
  </si>
  <si>
    <t>CUENTABANCOEMPRESA</t>
  </si>
  <si>
    <t>TIPOCUENTAEMPRESA</t>
  </si>
  <si>
    <t>ACTIVIDAD</t>
  </si>
  <si>
    <t>PAIS NACIMIENTO</t>
  </si>
  <si>
    <t>BARRIO</t>
  </si>
  <si>
    <t>NOM BARRIO</t>
  </si>
  <si>
    <t>CDGCIA</t>
  </si>
  <si>
    <t>N HRS P</t>
  </si>
  <si>
    <t>D</t>
  </si>
  <si>
    <t>LIBRETA ELECTORAL O DNI</t>
  </si>
  <si>
    <t>RAMOS CORI</t>
  </si>
  <si>
    <t>ROCIO DE LOURDES</t>
  </si>
  <si>
    <t>PI</t>
  </si>
  <si>
    <t>PLAZO INDETERMINADO</t>
  </si>
  <si>
    <t>DP2</t>
  </si>
  <si>
    <t>L5</t>
  </si>
  <si>
    <t>SUELDO FIJO</t>
  </si>
  <si>
    <t>EMP</t>
  </si>
  <si>
    <t>TD</t>
  </si>
  <si>
    <t>TURNO DIURNO</t>
  </si>
  <si>
    <t>HD</t>
  </si>
  <si>
    <t>HORARIO DIURNO</t>
  </si>
  <si>
    <t>C</t>
  </si>
  <si>
    <t>Completa</t>
  </si>
  <si>
    <t>1</t>
  </si>
  <si>
    <t>0</t>
  </si>
  <si>
    <t/>
  </si>
  <si>
    <t>F</t>
  </si>
  <si>
    <t>Casado(a)</t>
  </si>
  <si>
    <t>SND</t>
  </si>
  <si>
    <t>PO001</t>
  </si>
  <si>
    <t>LIMA</t>
  </si>
  <si>
    <t>OTROS  - 0</t>
  </si>
  <si>
    <t>1111111</t>
  </si>
  <si>
    <t>01</t>
  </si>
  <si>
    <t>LUNES-VIERNES</t>
  </si>
  <si>
    <t>11</t>
  </si>
  <si>
    <t>BBVA PERU</t>
  </si>
  <si>
    <t>01136800020054566686</t>
  </si>
  <si>
    <t>A</t>
  </si>
  <si>
    <t>Ahorro</t>
  </si>
  <si>
    <t>SIN RELACION SINDICAL</t>
  </si>
  <si>
    <t>CM&amp;CO</t>
  </si>
  <si>
    <t>ME</t>
  </si>
  <si>
    <t>CLARKE, MODET Y CO. PERÚ SAC</t>
  </si>
  <si>
    <t>PONP</t>
  </si>
  <si>
    <t>PENSION ONP</t>
  </si>
  <si>
    <t>UNCO</t>
  </si>
  <si>
    <t>UNIVERSIDAD COMPLETA</t>
  </si>
  <si>
    <t>IPS</t>
  </si>
  <si>
    <t xml:space="preserve"> IP PROSECUTION SPECIALIST </t>
  </si>
  <si>
    <t>029</t>
  </si>
  <si>
    <t>CENTRAL SERVICES</t>
  </si>
  <si>
    <t>002</t>
  </si>
  <si>
    <t>260130RRCOI9</t>
  </si>
  <si>
    <t>LINEA</t>
  </si>
  <si>
    <t>100</t>
  </si>
  <si>
    <t>SAN ISIDRO</t>
  </si>
  <si>
    <t>ST</t>
  </si>
  <si>
    <t>SCTR</t>
  </si>
  <si>
    <t>ES</t>
  </si>
  <si>
    <t>IN</t>
  </si>
  <si>
    <t>INTEGRA</t>
  </si>
  <si>
    <t>ND</t>
  </si>
  <si>
    <t>NO DEFINIDO</t>
  </si>
  <si>
    <t>NATHALIE</t>
  </si>
  <si>
    <t>PE</t>
  </si>
  <si>
    <t>PERUANO</t>
  </si>
  <si>
    <t>OPE</t>
  </si>
  <si>
    <t>OPERATIONS</t>
  </si>
  <si>
    <t>Activo</t>
  </si>
  <si>
    <t>TN</t>
  </si>
  <si>
    <t>TRANSFERENCIA</t>
  </si>
  <si>
    <t>Normal</t>
  </si>
  <si>
    <t>N</t>
  </si>
  <si>
    <t>0.522%</t>
  </si>
  <si>
    <t>Ahorros</t>
  </si>
  <si>
    <t>Propia</t>
  </si>
  <si>
    <t>BANCO CENTRAL RESERVA DEL PERÚ</t>
  </si>
  <si>
    <t>0123456789</t>
  </si>
  <si>
    <t>S</t>
  </si>
  <si>
    <t>PERU</t>
  </si>
  <si>
    <t>CHICHIZOLA CANALE</t>
  </si>
  <si>
    <t>FIORELLA GIOVANNA</t>
  </si>
  <si>
    <t>DP1</t>
  </si>
  <si>
    <t>Soltero(a)</t>
  </si>
  <si>
    <t>ZONA INDUSTRIAL CALLE LOS LIBERTADORES 758</t>
  </si>
  <si>
    <t>6000000</t>
  </si>
  <si>
    <t>941377416</t>
  </si>
  <si>
    <t>01115600020044890077</t>
  </si>
  <si>
    <t>CFIN</t>
  </si>
  <si>
    <t>COMISION FLUJO INTEGRA</t>
  </si>
  <si>
    <t>ISCO</t>
  </si>
  <si>
    <t>INSTITUTO SUPERIOR,ETC COMPLETA</t>
  </si>
  <si>
    <t>595200FCCCA8</t>
  </si>
  <si>
    <t>FLOREZ SUAREZ</t>
  </si>
  <si>
    <t>RONALD</t>
  </si>
  <si>
    <t>M</t>
  </si>
  <si>
    <t>ZONA INDUSTRIAL JIRÓN MANUEL PEREZ DE TUDELA 2847</t>
  </si>
  <si>
    <t>982770079</t>
  </si>
  <si>
    <t>01105700022436134471</t>
  </si>
  <si>
    <t>CFPRO</t>
  </si>
  <si>
    <t>COMISION FLUJO PROFUTURO</t>
  </si>
  <si>
    <t>028</t>
  </si>
  <si>
    <t>OPERATIONS INVENTIONS</t>
  </si>
  <si>
    <t>011</t>
  </si>
  <si>
    <t>INVENTIONS</t>
  </si>
  <si>
    <t>621441RFSRR2</t>
  </si>
  <si>
    <t>PT</t>
  </si>
  <si>
    <t>PROFUTURO</t>
  </si>
  <si>
    <t>ARIAS BAUTISTA</t>
  </si>
  <si>
    <t>ALVARO JAVIER</t>
  </si>
  <si>
    <t>URBANIZACIÓN JIRÓN MARTE 757</t>
  </si>
  <si>
    <t>01136600020033922424</t>
  </si>
  <si>
    <t>CMMX</t>
  </si>
  <si>
    <t>COMISION MIXTA</t>
  </si>
  <si>
    <t>ESCO</t>
  </si>
  <si>
    <t>EDUCACIÓN SECUNDARIA COMPLETA</t>
  </si>
  <si>
    <t>CMD</t>
  </si>
  <si>
    <t>COUNTRY MANAGING DIRECTOR</t>
  </si>
  <si>
    <t>012</t>
  </si>
  <si>
    <t>CEO</t>
  </si>
  <si>
    <t>007</t>
  </si>
  <si>
    <t>322431AABAT4</t>
  </si>
  <si>
    <t>OPI</t>
  </si>
  <si>
    <t>LIRA CANDIA</t>
  </si>
  <si>
    <t>LAURA CAROLINA</t>
  </si>
  <si>
    <t>PF</t>
  </si>
  <si>
    <t>PLAZO FIJO</t>
  </si>
  <si>
    <t>JIRÓN ENRIQUE OPPENHEIMER 141</t>
  </si>
  <si>
    <t>01105700022883967270</t>
  </si>
  <si>
    <t>GDBA</t>
  </si>
  <si>
    <t>GRADO DE BACHILLER</t>
  </si>
  <si>
    <t>628890LLCAD9</t>
  </si>
  <si>
    <t>HA</t>
  </si>
  <si>
    <t>HABITAT</t>
  </si>
  <si>
    <t>KOO RIOJA</t>
  </si>
  <si>
    <t>FELIX ALEJANDRO</t>
  </si>
  <si>
    <t>AVENIDA LA MOLINA 1785, SOL DE LA MOLINA 0</t>
  </si>
  <si>
    <t>924120490</t>
  </si>
  <si>
    <t>02</t>
  </si>
  <si>
    <t>CREDITO</t>
  </si>
  <si>
    <t>FAS</t>
  </si>
  <si>
    <t>FINANCE &amp; ACCOUNTING SPECIALIST</t>
  </si>
  <si>
    <t>FINANCIERO</t>
  </si>
  <si>
    <t>005</t>
  </si>
  <si>
    <t>FINANZAS</t>
  </si>
  <si>
    <t>632311FKROJ0</t>
  </si>
  <si>
    <t>FAC</t>
  </si>
  <si>
    <t>FACILITIES</t>
  </si>
  <si>
    <t>NEYRA ELLIOT</t>
  </si>
  <si>
    <t>MARÍA DEL CARMEN</t>
  </si>
  <si>
    <t>URBANIZACIÓN JIRÓN AUSTRIA 1206</t>
  </si>
  <si>
    <t>6010101</t>
  </si>
  <si>
    <t>986345478</t>
  </si>
  <si>
    <t>01105700022619663471</t>
  </si>
  <si>
    <t>QPM</t>
  </si>
  <si>
    <t>QUALITY PROCESS MANAGER</t>
  </si>
  <si>
    <t>026</t>
  </si>
  <si>
    <t>010</t>
  </si>
  <si>
    <t>641640MNERI3</t>
  </si>
  <si>
    <t>FERNANDEZ CASTILLO</t>
  </si>
  <si>
    <t>VICTOR DANIEL</t>
  </si>
  <si>
    <t>PARQUE RAIMONDI N° 234, DISTRITO DE BARRANCO, LIMA</t>
  </si>
  <si>
    <t>6020202</t>
  </si>
  <si>
    <t>19407201792036</t>
  </si>
  <si>
    <t>SEFO</t>
  </si>
  <si>
    <t>SIN EDUCACIÓN FORMAL</t>
  </si>
  <si>
    <t>PSP</t>
  </si>
  <si>
    <t xml:space="preserve"> PATENT SPECIALIST </t>
  </si>
  <si>
    <t>640621VFCNT9</t>
  </si>
  <si>
    <t>STAFF</t>
  </si>
  <si>
    <t>OPV</t>
  </si>
  <si>
    <t>OPERATIVA</t>
  </si>
  <si>
    <t>SOLANO CARRILLO</t>
  </si>
  <si>
    <t>LIZ VALERIA</t>
  </si>
  <si>
    <t>00000</t>
  </si>
  <si>
    <t>12347568</t>
  </si>
  <si>
    <t>1234567</t>
  </si>
  <si>
    <t>VSolano@clarkemodet.com</t>
  </si>
  <si>
    <t>03</t>
  </si>
  <si>
    <t>INTERBANK</t>
  </si>
  <si>
    <t>00326901316365802789</t>
  </si>
  <si>
    <t>P019</t>
  </si>
  <si>
    <t>IP SPECIALIST</t>
  </si>
  <si>
    <t>027</t>
  </si>
  <si>
    <t>TRADEMARK</t>
  </si>
  <si>
    <t>003</t>
  </si>
  <si>
    <t>TRADEMARKS</t>
  </si>
  <si>
    <t>APOYO</t>
  </si>
  <si>
    <t>ON</t>
  </si>
  <si>
    <t>ONP</t>
  </si>
  <si>
    <t>ADM</t>
  </si>
  <si>
    <t>ADMINISTRACION</t>
  </si>
  <si>
    <t>COLOMBIA</t>
  </si>
  <si>
    <t>HUAMAN TORRES</t>
  </si>
  <si>
    <t>CYNTHIA FIORELLA</t>
  </si>
  <si>
    <t>URBANIZACIÓN AVENIDA ANDRES RAZURI 344</t>
  </si>
  <si>
    <t>6702020</t>
  </si>
  <si>
    <t>01115600020057152474</t>
  </si>
  <si>
    <t>631390CHTMR2</t>
  </si>
  <si>
    <t>CADILLO BRITO</t>
  </si>
  <si>
    <t>ZULEMA BELINDA</t>
  </si>
  <si>
    <t>No definido</t>
  </si>
  <si>
    <t>123456789101</t>
  </si>
  <si>
    <t>19471432597036</t>
  </si>
  <si>
    <t>PR</t>
  </si>
  <si>
    <t>PRIMA</t>
  </si>
  <si>
    <t>00219300213983600318</t>
  </si>
  <si>
    <t>CAICEDO ROSADO</t>
  </si>
  <si>
    <t>STEFFANY FELICIA</t>
  </si>
  <si>
    <t>PP</t>
  </si>
  <si>
    <t>PRACTICANTE PROFESIONAL</t>
  </si>
  <si>
    <t>AS2</t>
  </si>
  <si>
    <t>SU</t>
  </si>
  <si>
    <t>SUBVENCION</t>
  </si>
  <si>
    <t>PRA</t>
  </si>
  <si>
    <t>PRACTICANTE</t>
  </si>
  <si>
    <t>00000000</t>
  </si>
  <si>
    <t>P030</t>
  </si>
  <si>
    <t>BECARIA</t>
  </si>
  <si>
    <t>015</t>
  </si>
  <si>
    <t>008</t>
  </si>
  <si>
    <t>FACILITES</t>
  </si>
  <si>
    <t>Av. Conquistadores 1136</t>
  </si>
  <si>
    <t>E</t>
  </si>
  <si>
    <t>CARNET DE EXTRANJERIA</t>
  </si>
  <si>
    <t>MARQUIS XXX</t>
  </si>
  <si>
    <t>JOSE NORBERT</t>
  </si>
  <si>
    <t>FA001</t>
  </si>
  <si>
    <t>PARIS</t>
  </si>
  <si>
    <t>ZONA INDUSTRIAL CALLE PEDRO DENEGRI 130 INT 304</t>
  </si>
  <si>
    <t>111111111111</t>
  </si>
  <si>
    <t>989559279</t>
  </si>
  <si>
    <t>09</t>
  </si>
  <si>
    <t>SCOTIABANK</t>
  </si>
  <si>
    <t>00972420831167877863</t>
  </si>
  <si>
    <t>627991JMXQX0</t>
  </si>
  <si>
    <t>FRANCIA</t>
  </si>
  <si>
    <t>SOTO LLOCLLA</t>
  </si>
  <si>
    <t>SARA MILAGROS</t>
  </si>
  <si>
    <t>OTRA NOMENCLATURA JR LA OROYA MZ 2 LOTE COOP LA</t>
  </si>
  <si>
    <t>000000000000</t>
  </si>
  <si>
    <t>0000000</t>
  </si>
  <si>
    <t>19101190765092</t>
  </si>
  <si>
    <t>Av. Conquistadores 1136 Int 304</t>
  </si>
  <si>
    <t>HIRAOKA MARINA</t>
  </si>
  <si>
    <t>GUILLERMO HENRY</t>
  </si>
  <si>
    <t>CALLE 54 154 URB CORPAC LIMA-LIMA-SAN ISIDRO</t>
  </si>
  <si>
    <t>00000000000</t>
  </si>
  <si>
    <t>04</t>
  </si>
  <si>
    <t>BANBIF</t>
  </si>
  <si>
    <t>03810010803075125745</t>
  </si>
  <si>
    <t>MEJIA DOLORES</t>
  </si>
  <si>
    <t>JACKELINE NANCY</t>
  </si>
  <si>
    <t xml:space="preserve">BARRIO MZ. EL MIRADOR SHANCAYAN MZ.G INT. LT.11 URB. EL MIRADOR </t>
  </si>
  <si>
    <t>jackymejia1129@gmail.com</t>
  </si>
  <si>
    <t>8983386275167</t>
  </si>
  <si>
    <t>IPP</t>
  </si>
  <si>
    <t>IP PROCUREMENT SPECIALIST</t>
  </si>
  <si>
    <t>CCEPS</t>
  </si>
  <si>
    <t>CON CREDITO EPS</t>
  </si>
  <si>
    <t>FECHA INICIAL</t>
  </si>
  <si>
    <t xml:space="preserve">FECHA CORTE </t>
  </si>
  <si>
    <t>(en blanco)</t>
  </si>
  <si>
    <t>B100</t>
  </si>
  <si>
    <t>DESCANSO MEDICO</t>
  </si>
  <si>
    <t>UNION</t>
  </si>
  <si>
    <t>B100 DESCANSO MEDICO</t>
  </si>
  <si>
    <t>20210601</t>
  </si>
  <si>
    <t>20150910</t>
  </si>
  <si>
    <t>20160516</t>
  </si>
  <si>
    <t>20170911</t>
  </si>
  <si>
    <t>20170130</t>
  </si>
  <si>
    <t>8330844338</t>
  </si>
  <si>
    <t>20201116</t>
  </si>
  <si>
    <t>20160919</t>
  </si>
  <si>
    <t>20220303</t>
  </si>
  <si>
    <t>20221114</t>
  </si>
  <si>
    <t>20180521</t>
  </si>
  <si>
    <t>20240201</t>
  </si>
  <si>
    <t>20160309</t>
  </si>
  <si>
    <t>20250324</t>
  </si>
  <si>
    <t>20241211</t>
  </si>
  <si>
    <t>20231009</t>
  </si>
  <si>
    <t>19406467626054</t>
  </si>
  <si>
    <t>74026184</t>
  </si>
  <si>
    <t>FAJARDO APOLAYA</t>
  </si>
  <si>
    <t>JACKELINE TAMARA</t>
  </si>
  <si>
    <t>PRACTICANTE PRE-PROFESIONAL</t>
  </si>
  <si>
    <t xml:space="preserve">OTRA NOMENCLATURA CALLE 4 LUIS SANCHEZ CERRO MZ A LT 16 </t>
  </si>
  <si>
    <t>000000000</t>
  </si>
  <si>
    <t>19406809861045</t>
  </si>
  <si>
    <t>SCEPS</t>
  </si>
  <si>
    <t>SIN CREDITO EPS</t>
  </si>
  <si>
    <t>11001</t>
  </si>
  <si>
    <t>BOGOTA D.C.</t>
  </si>
  <si>
    <t>20260511</t>
  </si>
  <si>
    <t>JACKELINE TAMARA FAJARDO APOLAYA</t>
  </si>
  <si>
    <t>20260501</t>
  </si>
  <si>
    <r>
      <t>I100 APORTE OBLIGATORIO</t>
    </r>
    <r>
      <rPr>
        <sz val="10"/>
        <color theme="0"/>
        <rFont val="Arial"/>
        <family val="2"/>
      </rPr>
      <t xml:space="preserve"> AFP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</si>
</sst>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d/mm/yyyy;@"/>
    <numFmt numFmtId="165" formatCode="[$-10409]#,##0.00;\(#,##0.00\)"/>
    <numFmt numFmtId="166" formatCode="[$-10409]d/mm/yyyy"/>
    <numFmt numFmtId="167" formatCode="dd/mm/yyyy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2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7"/>
      <color theme="5"/>
      <name val="Tahoma"/>
      <family val="2"/>
    </font>
    <font>
      <sz val="11"/>
      <color theme="5"/>
      <name val="Calibri"/>
      <family val="2"/>
      <scheme val="minor"/>
    </font>
    <font>
      <sz val="10"/>
      <name val="Formata Regula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763"/>
        <bgColor rgb="FF1F4763"/>
      </patternFill>
    </fill>
    <fill>
      <patternFill patternType="solid">
        <fgColor rgb="FFD3D3D3"/>
        <bgColor rgb="FFD3D3D3"/>
      </patternFill>
    </fill>
    <fill>
      <patternFill patternType="solid">
        <fgColor rgb="FFF5F5F5"/>
        <bgColor rgb="FFF5F5F5"/>
      </patternFill>
    </fill>
    <fill>
      <patternFill patternType="solid">
        <fgColor rgb="FFFF6347"/>
        <bgColor rgb="FFFF6347"/>
      </patternFill>
    </fill>
    <fill>
      <patternFill patternType="solid">
        <fgColor rgb="FF90EE90"/>
        <bgColor rgb="FF90EE90"/>
      </patternFill>
    </fill>
    <fill>
      <patternFill patternType="solid">
        <fgColor rgb="FF1F4763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13" fillId="0" borderId="0"/>
    <xf numFmtId="0" fontId="13" fillId="0" borderId="0"/>
    <xf numFmtId="0" fontId="16" fillId="0" borderId="0"/>
    <xf numFmtId="43" fontId="5" fillId="0" borderId="0" applyFont="0" applyFill="0" applyBorder="0" applyAlignment="0" applyProtection="0"/>
    <xf numFmtId="0" fontId="17" fillId="0" borderId="0"/>
    <xf numFmtId="43" fontId="13" fillId="0" borderId="0" applyFont="0" applyFill="0" applyBorder="0" applyAlignment="0" applyProtection="0"/>
    <xf numFmtId="0" fontId="5" fillId="0" borderId="0"/>
    <xf numFmtId="0" fontId="13" fillId="0" borderId="0"/>
    <xf numFmtId="43" fontId="5" fillId="0" borderId="0" applyFont="0" applyFill="0" applyBorder="0" applyAlignment="0" applyProtection="0"/>
  </cellStyleXfs>
  <cellXfs count="100">
    <xf numFmtId="0" fontId="0" fillId="0" borderId="0" xfId="0"/>
    <xf numFmtId="0" fontId="3" fillId="3" borderId="0" xfId="0" applyFont="1" applyFill="1"/>
    <xf numFmtId="0" fontId="3" fillId="3" borderId="1" xfId="0" quotePrefix="1" applyFont="1" applyFill="1" applyBorder="1"/>
    <xf numFmtId="164" fontId="3" fillId="3" borderId="1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6" fillId="4" borderId="16" xfId="2" applyFont="1" applyFill="1" applyBorder="1" applyAlignment="1">
      <alignment horizontal="center" vertical="top" wrapText="1" readingOrder="1"/>
    </xf>
    <xf numFmtId="0" fontId="7" fillId="0" borderId="16" xfId="2" applyFont="1" applyBorder="1" applyAlignment="1">
      <alignment vertical="top" wrapText="1" readingOrder="1"/>
    </xf>
    <xf numFmtId="2" fontId="3" fillId="3" borderId="1" xfId="0" applyNumberFormat="1" applyFont="1" applyFill="1" applyBorder="1"/>
    <xf numFmtId="0" fontId="4" fillId="3" borderId="13" xfId="0" applyFont="1" applyFill="1" applyBorder="1"/>
    <xf numFmtId="0" fontId="4" fillId="3" borderId="3" xfId="0" applyFont="1" applyFill="1" applyBorder="1"/>
    <xf numFmtId="0" fontId="4" fillId="3" borderId="14" xfId="0" applyFont="1" applyFill="1" applyBorder="1"/>
    <xf numFmtId="0" fontId="4" fillId="3" borderId="8" xfId="0" applyFont="1" applyFill="1" applyBorder="1"/>
    <xf numFmtId="0" fontId="4" fillId="3" borderId="15" xfId="0" applyFont="1" applyFill="1" applyBorder="1"/>
    <xf numFmtId="2" fontId="3" fillId="3" borderId="0" xfId="0" applyNumberFormat="1" applyFont="1" applyFill="1"/>
    <xf numFmtId="2" fontId="4" fillId="3" borderId="3" xfId="0" applyNumberFormat="1" applyFont="1" applyFill="1" applyBorder="1"/>
    <xf numFmtId="0" fontId="9" fillId="3" borderId="0" xfId="0" applyFont="1" applyFill="1"/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 vertical="top" wrapText="1" readingOrder="1"/>
    </xf>
    <xf numFmtId="0" fontId="12" fillId="9" borderId="0" xfId="0" applyFont="1" applyFill="1"/>
    <xf numFmtId="0" fontId="7" fillId="0" borderId="16" xfId="0" applyFont="1" applyBorder="1" applyAlignment="1">
      <alignment vertical="top" wrapText="1" readingOrder="1"/>
    </xf>
    <xf numFmtId="165" fontId="7" fillId="7" borderId="16" xfId="0" applyNumberFormat="1" applyFont="1" applyFill="1" applyBorder="1" applyAlignment="1">
      <alignment vertical="top" wrapText="1" readingOrder="1"/>
    </xf>
    <xf numFmtId="165" fontId="7" fillId="5" borderId="16" xfId="0" applyNumberFormat="1" applyFont="1" applyFill="1" applyBorder="1" applyAlignment="1">
      <alignment vertical="top" wrapText="1" readingOrder="1"/>
    </xf>
    <xf numFmtId="165" fontId="7" fillId="6" borderId="16" xfId="0" applyNumberFormat="1" applyFont="1" applyFill="1" applyBorder="1" applyAlignment="1">
      <alignment vertical="top" wrapText="1" readingOrder="1"/>
    </xf>
    <xf numFmtId="0" fontId="13" fillId="0" borderId="0" xfId="0" applyFont="1"/>
    <xf numFmtId="49" fontId="9" fillId="3" borderId="1" xfId="0" applyNumberFormat="1" applyFont="1" applyFill="1" applyBorder="1" applyAlignment="1">
      <alignment horizontal="center"/>
    </xf>
    <xf numFmtId="0" fontId="0" fillId="0" borderId="0" xfId="0" pivotButton="1"/>
    <xf numFmtId="0" fontId="4" fillId="3" borderId="12" xfId="0" applyFont="1" applyFill="1" applyBorder="1"/>
    <xf numFmtId="2" fontId="0" fillId="0" borderId="0" xfId="0" applyNumberFormat="1"/>
    <xf numFmtId="2" fontId="6" fillId="4" borderId="16" xfId="2" applyNumberFormat="1" applyFont="1" applyFill="1" applyBorder="1" applyAlignment="1">
      <alignment horizontal="center" vertical="top" wrapText="1" readingOrder="1"/>
    </xf>
    <xf numFmtId="2" fontId="7" fillId="0" borderId="16" xfId="2" applyNumberFormat="1" applyFont="1" applyBorder="1" applyAlignment="1">
      <alignment vertical="top" wrapText="1" readingOrder="1"/>
    </xf>
    <xf numFmtId="2" fontId="4" fillId="3" borderId="2" xfId="0" applyNumberFormat="1" applyFont="1" applyFill="1" applyBorder="1"/>
    <xf numFmtId="1" fontId="0" fillId="0" borderId="0" xfId="0" applyNumberFormat="1"/>
    <xf numFmtId="2" fontId="14" fillId="0" borderId="16" xfId="2" applyNumberFormat="1" applyFont="1" applyBorder="1" applyAlignment="1">
      <alignment vertical="top" wrapText="1" readingOrder="1"/>
    </xf>
    <xf numFmtId="0" fontId="15" fillId="0" borderId="0" xfId="0" applyFont="1"/>
    <xf numFmtId="14" fontId="0" fillId="0" borderId="0" xfId="0" applyNumberFormat="1"/>
    <xf numFmtId="4" fontId="0" fillId="0" borderId="0" xfId="0" applyNumberFormat="1"/>
    <xf numFmtId="43" fontId="11" fillId="0" borderId="17" xfId="1" applyFont="1" applyFill="1" applyBorder="1"/>
    <xf numFmtId="2" fontId="11" fillId="0" borderId="17" xfId="1" applyNumberFormat="1" applyFont="1" applyFill="1" applyBorder="1"/>
    <xf numFmtId="0" fontId="6" fillId="4" borderId="18" xfId="0" applyFont="1" applyFill="1" applyBorder="1" applyAlignment="1">
      <alignment horizontal="center" vertical="top" wrapText="1" readingOrder="1"/>
    </xf>
    <xf numFmtId="2" fontId="6" fillId="4" borderId="18" xfId="0" applyNumberFormat="1" applyFont="1" applyFill="1" applyBorder="1" applyAlignment="1">
      <alignment horizontal="center" vertical="top" wrapText="1" readingOrder="1"/>
    </xf>
    <xf numFmtId="0" fontId="10" fillId="2" borderId="19" xfId="0" applyFont="1" applyFill="1" applyBorder="1" applyAlignment="1">
      <alignment horizontal="center" vertical="center"/>
    </xf>
    <xf numFmtId="0" fontId="3" fillId="3" borderId="19" xfId="0" applyFont="1" applyFill="1" applyBorder="1"/>
    <xf numFmtId="0" fontId="9" fillId="3" borderId="19" xfId="0" applyFont="1" applyFill="1" applyBorder="1"/>
    <xf numFmtId="0" fontId="0" fillId="0" borderId="19" xfId="0" applyBorder="1"/>
    <xf numFmtId="14" fontId="3" fillId="0" borderId="1" xfId="0" quotePrefix="1" applyNumberFormat="1" applyFont="1" applyBorder="1"/>
    <xf numFmtId="14" fontId="3" fillId="0" borderId="1" xfId="0" applyNumberFormat="1" applyFont="1" applyBorder="1" applyAlignment="1">
      <alignment horizontal="left"/>
    </xf>
    <xf numFmtId="0" fontId="3" fillId="0" borderId="1" xfId="0" quotePrefix="1" applyFont="1" applyBorder="1"/>
    <xf numFmtId="165" fontId="0" fillId="0" borderId="0" xfId="0" applyNumberFormat="1"/>
    <xf numFmtId="0" fontId="4" fillId="3" borderId="2" xfId="0" applyFont="1" applyFill="1" applyBorder="1"/>
    <xf numFmtId="166" fontId="7" fillId="0" borderId="16" xfId="0" applyNumberFormat="1" applyFont="1" applyBorder="1" applyAlignment="1">
      <alignment vertical="top" wrapText="1" readingOrder="1"/>
    </xf>
    <xf numFmtId="165" fontId="7" fillId="0" borderId="16" xfId="0" applyNumberFormat="1" applyFont="1" applyBorder="1" applyAlignment="1">
      <alignment vertical="top" wrapText="1" readingOrder="1"/>
    </xf>
    <xf numFmtId="2" fontId="18" fillId="0" borderId="0" xfId="0" applyNumberFormat="1" applyFont="1"/>
    <xf numFmtId="0" fontId="0" fillId="0" borderId="12" xfId="0" applyBorder="1"/>
    <xf numFmtId="43" fontId="7" fillId="0" borderId="16" xfId="1" applyFont="1" applyBorder="1" applyAlignment="1">
      <alignment vertical="top" wrapText="1" readingOrder="1"/>
    </xf>
    <xf numFmtId="0" fontId="3" fillId="3" borderId="2" xfId="0" applyFont="1" applyFill="1" applyBorder="1"/>
    <xf numFmtId="0" fontId="8" fillId="3" borderId="12" xfId="0" applyFont="1" applyFill="1" applyBorder="1"/>
    <xf numFmtId="0" fontId="3" fillId="3" borderId="3" xfId="0" applyFont="1" applyFill="1" applyBorder="1"/>
    <xf numFmtId="0" fontId="3" fillId="3" borderId="12" xfId="0" applyFont="1" applyFill="1" applyBorder="1"/>
    <xf numFmtId="0" fontId="3" fillId="3" borderId="8" xfId="0" applyFont="1" applyFill="1" applyBorder="1"/>
    <xf numFmtId="0" fontId="3" fillId="3" borderId="7" xfId="0" applyFont="1" applyFill="1" applyBorder="1"/>
    <xf numFmtId="14" fontId="13" fillId="0" borderId="0" xfId="0" applyNumberFormat="1" applyFont="1"/>
    <xf numFmtId="165" fontId="7" fillId="8" borderId="16" xfId="0" applyNumberFormat="1" applyFont="1" applyFill="1" applyBorder="1" applyAlignment="1">
      <alignment vertical="top" wrapText="1" readingOrder="1"/>
    </xf>
    <xf numFmtId="0" fontId="4" fillId="3" borderId="6" xfId="0" applyFont="1" applyFill="1" applyBorder="1"/>
    <xf numFmtId="167" fontId="0" fillId="0" borderId="0" xfId="0" applyNumberFormat="1"/>
    <xf numFmtId="0" fontId="19" fillId="0" borderId="17" xfId="0" applyFont="1" applyBorder="1"/>
    <xf numFmtId="0" fontId="7" fillId="0" borderId="16" xfId="0" quotePrefix="1" applyFont="1" applyBorder="1" applyAlignment="1">
      <alignment vertical="top" wrapText="1" readingOrder="1"/>
    </xf>
    <xf numFmtId="2" fontId="4" fillId="3" borderId="0" xfId="0" applyNumberFormat="1" applyFont="1" applyFill="1"/>
    <xf numFmtId="0" fontId="3" fillId="3" borderId="15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left"/>
    </xf>
    <xf numFmtId="0" fontId="10" fillId="2" borderId="11" xfId="0" applyFont="1" applyFill="1" applyBorder="1" applyAlignment="1">
      <alignment horizontal="left"/>
    </xf>
    <xf numFmtId="0" fontId="10" fillId="2" borderId="10" xfId="0" applyFont="1" applyFill="1" applyBorder="1" applyAlignment="1">
      <alignment horizontal="left"/>
    </xf>
    <xf numFmtId="0" fontId="4" fillId="3" borderId="12" xfId="0" applyFont="1" applyFill="1" applyBorder="1"/>
    <xf numFmtId="0" fontId="4" fillId="3" borderId="3" xfId="0" applyFont="1" applyFill="1" applyBorder="1"/>
    <xf numFmtId="0" fontId="4" fillId="3" borderId="7" xfId="0" applyFont="1" applyFill="1" applyBorder="1"/>
    <xf numFmtId="0" fontId="4" fillId="3" borderId="8" xfId="0" applyFont="1" applyFill="1" applyBorder="1"/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4" fillId="3" borderId="6" xfId="0" applyFont="1" applyFill="1" applyBorder="1"/>
    <xf numFmtId="0" fontId="4" fillId="3" borderId="2" xfId="0" applyFont="1" applyFill="1" applyBorder="1"/>
    <xf numFmtId="0" fontId="9" fillId="3" borderId="1" xfId="0" applyFont="1" applyFill="1" applyBorder="1" applyAlignment="1">
      <alignment horizontal="center"/>
    </xf>
    <xf numFmtId="2" fontId="9" fillId="3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center"/>
    </xf>
  </cellXfs>
  <cellStyles count="12">
    <cellStyle name="Millares" xfId="1" builtinId="3"/>
    <cellStyle name="Millares 2" xfId="6" xr:uid="{00000000-0005-0000-0000-000001000000}"/>
    <cellStyle name="Millares 3" xfId="11" xr:uid="{00000000-0005-0000-0000-000002000000}"/>
    <cellStyle name="Millares 4" xfId="8" xr:uid="{00000000-0005-0000-0000-000003000000}"/>
    <cellStyle name="Normal" xfId="0" builtinId="0"/>
    <cellStyle name="Normal 10" xfId="10" xr:uid="{00000000-0005-0000-0000-000005000000}"/>
    <cellStyle name="Normal 2" xfId="2" xr:uid="{00000000-0005-0000-0000-000006000000}"/>
    <cellStyle name="Normal 2 2" xfId="3" xr:uid="{00000000-0005-0000-0000-000007000000}"/>
    <cellStyle name="Normal 3" xfId="5" xr:uid="{00000000-0005-0000-0000-000008000000}"/>
    <cellStyle name="Normal 3 2" xfId="9" xr:uid="{00000000-0005-0000-0000-000009000000}"/>
    <cellStyle name="Normal 4" xfId="7" xr:uid="{00000000-0005-0000-0000-00000A000000}"/>
    <cellStyle name="Normal 8" xfId="4" xr:uid="{00000000-0005-0000-0000-00000B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03B298-8293-491A-8200-391B595D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43946BD-59E5-4CDA-B9C2-4381C8707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D46DC8-AA2E-442F-A496-32EAC8AF0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5E0DB9F-FDF5-437B-9CF0-B0F4EF2E2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B265EB-1092-4AF5-9467-EEE029D5E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DC19F9A-838C-4930-9396-B9968FBF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6C6D93-185B-4AF1-8983-35015D52D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700423D-95EB-4184-A56A-1E5D90662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6297C3-5A00-48BC-B4CB-0F4811D3A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D2F5935-D0D6-43E5-8E13-E0F9B5459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CCD912-0A51-40FA-9DCF-EE9A2B091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772E33C-245C-47E4-BBD1-460275468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B232CF-58DA-40DF-B9D6-F19BA0890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886C383-BE81-4586-882A-8514D9A34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ED5546-E2F4-4517-91FE-2AAFCBBA1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674F529-3378-410C-BBFC-04EF0DDB5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1E130A-2001-4F74-8575-3060B2946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562D74F-A81B-4ECB-A296-545541766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EFB5D5-2023-4816-85B3-79AD99CCD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62C7C4B-3D58-489D-86C9-C4E61DB5A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013564-32C4-46DA-9DE5-77EAF8644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7FA1DC0-B384-49FF-B269-C3C0DFE95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AA0E56-DBE6-4553-98C3-BD34EEBA0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A2DBD92-77CE-4CF1-9958-B69166776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63F618-D66D-4B91-B2A3-B095AF5FF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EA79679-1CF9-4FDD-A055-E532139F3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2F6FB3-B96E-441A-9B4F-B85779AE5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2672355-31FA-4E07-BA8D-E9D3488F1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F6AABC-C702-40DD-B0DC-6F89025CC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9E8EA31-29A4-46A4-B2EF-CB4DBAB4B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BB3C09-A26C-4B3E-BBF1-66F3748B1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8956676"/>
          <a:ext cx="2997199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77690C4-467D-48A7-9F52-97A96DADB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63526" y="27231"/>
          <a:ext cx="1533524" cy="6471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428626</xdr:colOff>
      <xdr:row>27</xdr:row>
      <xdr:rowOff>174626</xdr:rowOff>
    </xdr:from>
    <xdr:to>
      <xdr:col>7</xdr:col>
      <xdr:colOff>349250</xdr:colOff>
      <xdr:row>34</xdr:row>
      <xdr:rowOff>39965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64F34BB-ECED-B16E-262C-7B2C11DBB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1" y="9032876"/>
          <a:ext cx="3000374" cy="119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561976</xdr:colOff>
      <xdr:row>0</xdr:row>
      <xdr:rowOff>27231</xdr:rowOff>
    </xdr:from>
    <xdr:to>
      <xdr:col>12</xdr:col>
      <xdr:colOff>0</xdr:colOff>
      <xdr:row>0</xdr:row>
      <xdr:rowOff>674405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72C555-1A54-14A2-FE33-DB9C6294B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72976" y="27231"/>
          <a:ext cx="1533524" cy="64717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halie Vaquiro" refreshedDate="46174.694936458334" createdVersion="8" refreshedVersion="8" minRefreshableVersion="3" recordCount="86" xr:uid="{C6200EE9-BB11-404E-8843-78C1566737E4}">
  <cacheSource type="worksheet">
    <worksheetSource ref="A1:O1048576" sheet="Dev"/>
  </cacheSource>
  <cacheFields count="15">
    <cacheField name="Estructura" numFmtId="0">
      <sharedItems containsString="0" containsBlank="1" containsNumber="1" containsInteger="1" minValue="1" maxValue="17"/>
    </cacheField>
    <cacheField name="LLAVE" numFmtId="0">
      <sharedItems containsBlank="1"/>
    </cacheField>
    <cacheField name="EMPLEADO" numFmtId="0">
      <sharedItems containsBlank="1"/>
    </cacheField>
    <cacheField name="NOMBRE COMPLETO" numFmtId="0">
      <sharedItems containsBlank="1"/>
    </cacheField>
    <cacheField name="DOCTO IDENT" numFmtId="0">
      <sharedItems containsBlank="1"/>
    </cacheField>
    <cacheField name="F ANTIGUEDAD" numFmtId="0">
      <sharedItems containsNonDate="0" containsDate="1" containsString="0" containsBlank="1" minDate="2015-09-10T00:00:00" maxDate="2026-05-12T00:00:00"/>
    </cacheField>
    <cacheField name="SALARIO" numFmtId="0">
      <sharedItems containsString="0" containsBlank="1" containsNumber="1" containsInteger="1" minValue="1130" maxValue="14615"/>
    </cacheField>
    <cacheField name="PERIODO/MES" numFmtId="0">
      <sharedItems containsBlank="1"/>
    </cacheField>
    <cacheField name="CONCEPTO" numFmtId="0">
      <sharedItems containsBlank="1" count="12">
        <s v="A000"/>
        <s v="A012"/>
        <s v="D013"/>
        <s v="R000"/>
        <s v="S006"/>
        <s v="B100"/>
        <s v="I100"/>
        <s v="I200"/>
        <s v="I300"/>
        <s v="G006"/>
        <s v="A006"/>
        <m/>
      </sharedItems>
    </cacheField>
    <cacheField name="DESCRIPCION CONCEPTO" numFmtId="0">
      <sharedItems containsBlank="1" count="12">
        <s v="SUELDO BASICO"/>
        <s v="ASIGNACION FAMILIAR"/>
        <s v="AUXILIO DE MOVILIDAD"/>
        <s v="RETENCION IMPUESTO A LA RENTA"/>
        <s v="DESCUENTO EPS"/>
        <s v="DESCANSO MEDICO"/>
        <s v="APORTE OBLIGATORIO AFP"/>
        <s v="SOBREVIVENCIA AFP"/>
        <s v="COMISION VARIABLE AFP"/>
        <s v="VACACIONES"/>
        <s v="SUBVENCION ECONOMICA"/>
        <m/>
      </sharedItems>
    </cacheField>
    <cacheField name="UNION" numFmtId="0">
      <sharedItems containsBlank="1"/>
    </cacheField>
    <cacheField name="HORAS" numFmtId="0">
      <sharedItems containsString="0" containsBlank="1" containsNumber="1" containsInteger="1" minValue="0" maxValue="240"/>
    </cacheField>
    <cacheField name="VALOR DEVENGADO" numFmtId="0">
      <sharedItems containsString="0" containsBlank="1" containsNumber="1" minValue="0" maxValue="14615" count="74">
        <n v="3899"/>
        <n v="113"/>
        <n v="36"/>
        <n v="0"/>
        <n v="3330"/>
        <n v="370"/>
        <n v="24"/>
        <n v="6778.87"/>
        <n v="2063.13"/>
        <n v="14615"/>
        <n v="2967.77"/>
        <n v="903.23"/>
        <n v="3057.6"/>
        <n v="2675.4"/>
        <n v="3931.2"/>
        <n v="2620.8000000000002"/>
        <n v="3142.57"/>
        <n v="956.43"/>
        <n v="3879.17"/>
        <n v="2245.83"/>
        <n v="3241.7"/>
        <n v="32"/>
        <n v="1389.3"/>
        <n v="2142"/>
        <n v="48"/>
        <n v="6644"/>
        <n v="3090"/>
        <n v="5768"/>
        <n v="1856.4"/>
        <n v="795.6"/>
        <n v="753.33"/>
        <n v="1017"/>
        <m/>
        <n v="2590" u="1"/>
        <n v="246.67" u="1"/>
        <n v="863.33" u="1"/>
        <n v="8842" u="1"/>
        <n v="11204.83" u="1"/>
        <n v="3410.17" u="1"/>
        <n v="3871" u="1"/>
        <n v="4149.6000000000004" u="1"/>
        <n v="28" u="1"/>
        <n v="2402.4" u="1"/>
        <n v="4099" u="1"/>
        <n v="4287.5" u="1"/>
        <n v="408.33" u="1"/>
        <n v="1429.17" u="1"/>
        <n v="4013.53" u="1"/>
        <n v="44" u="1"/>
        <n v="617.47" u="1"/>
        <n v="2369" u="1"/>
        <n v="721" u="1"/>
        <n v="2652" u="1"/>
        <n v="1544.33" u="1"/>
        <n v="150.66999999999999" u="1"/>
        <n v="14189" u="1"/>
        <n v="2080" u="1"/>
        <n v="1130" u="1"/>
        <n v="3558" u="1"/>
        <n v="3941" u="1"/>
        <n v="5600" u="1"/>
        <n v="3446.93" u="1"/>
        <n v="1049.07" u="1"/>
        <n v="5200" u="1"/>
        <n v="3507.47" u="1"/>
        <n v="250.54" u="1"/>
        <n v="6388" u="1"/>
        <n v="1802.5" u="1"/>
        <n v="772.5" u="1"/>
        <n v="5943" u="1"/>
        <n v="2874.23" u="1"/>
        <n v="874.77" u="1"/>
        <n v="5947" u="1"/>
        <n v="3000" u="1"/>
      </sharedItems>
    </cacheField>
    <cacheField name="VALOR DEDUCCION" numFmtId="0">
      <sharedItems containsString="0" containsBlank="1" containsNumber="1" minValue="0" maxValue="1972.88" count="95">
        <n v="0"/>
        <n v="121.57"/>
        <n v="202.42"/>
        <n v="370"/>
        <n v="50.69"/>
        <n v="57.35"/>
        <n v="93.85"/>
        <n v="884.2"/>
        <n v="121.14"/>
        <n v="149.43"/>
        <n v="871.57"/>
        <n v="1461.5"/>
        <n v="172.61"/>
        <n v="1972.88"/>
        <n v="387.1"/>
        <n v="53.03"/>
        <n v="109.98"/>
        <n v="573.29999999999995"/>
        <n v="78.540000000000006"/>
        <n v="363.08"/>
        <n v="655.20000000000005"/>
        <n v="89.76"/>
        <n v="501.01"/>
        <n v="409.9"/>
        <n v="56.16"/>
        <n v="131.63"/>
        <n v="810.94"/>
        <n v="440.35"/>
        <n v="474.4"/>
        <n v="64.989999999999995"/>
        <n v="197.7"/>
        <n v="214.2"/>
        <n v="29.35"/>
        <n v="664.4"/>
        <n v="91.02"/>
        <n v="513.58000000000004"/>
        <n v="309"/>
        <n v="42.33"/>
        <n v="47.9"/>
        <n v="36.25"/>
        <n v="576.79999999999995"/>
        <n v="79.02"/>
        <n v="368.65"/>
        <n v="265.2"/>
        <n v="36.33"/>
        <m/>
        <n v="121.21" u="1"/>
        <n v="93.61" u="1"/>
        <n v="109.63" u="1"/>
        <n v="500.37" u="1"/>
        <n v="131.27000000000001" u="1"/>
        <n v="197.14" u="1"/>
        <n v="512.74" u="1"/>
        <n v="35.89" u="1"/>
        <n v="367.81" u="1"/>
        <n v="1418.9" u="1"/>
        <n v="167.26" u="1"/>
        <n v="1883.37" u="1"/>
        <n v="208" u="1"/>
        <n v="28.5" u="1"/>
        <n v="355.8" u="1"/>
        <n v="48.74" u="1"/>
        <n v="55.15" u="1"/>
        <n v="79.28" u="1"/>
        <n v="394.1" u="1"/>
        <n v="53.99" u="1"/>
        <n v="115.21" u="1"/>
        <n v="871.45" u="1"/>
        <n v="560" u="1"/>
        <n v="76.72" u="1"/>
        <n v="337.99" u="1"/>
        <n v="460.9" u="1"/>
        <n v="63.14" u="1"/>
        <n v="177.98" u="1"/>
        <n v="520" u="1"/>
        <n v="71.239999999999995" u="1"/>
        <n v="270.86" u="1"/>
        <n v="375.8" u="1"/>
        <n v="51.48" u="1"/>
        <n v="98.02" u="1"/>
        <n v="638.79999999999995" u="1"/>
        <n v="87.52" u="1"/>
        <n v="467.75" u="1"/>
        <n v="257.5" u="1"/>
        <n v="35.28" u="1"/>
        <n v="594.29999999999995" u="1"/>
        <n v="81.42" u="1"/>
        <n v="394.55" u="1"/>
        <n v="106.16" u="1"/>
        <n v="787.8" u="1"/>
        <n v="409.86" u="1"/>
        <n v="300" u="1"/>
        <n v="41.1" u="1"/>
        <n v="46.5" u="1"/>
        <n v="26.7" u="1"/>
      </sharedItems>
    </cacheField>
    <cacheField name="NETO" numFmtId="0">
      <sharedItems containsString="0" containsBlank="1" containsNumber="1" minValue="-1972.88" maxValue="146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1"/>
    <s v="1007874085A000 SUELDO BASICO"/>
    <s v="1007874085"/>
    <s v="ROCIO DE LOURDES RAMOS CORI"/>
    <s v="07874085"/>
    <d v="2021-06-01T00:00:00"/>
    <n v="3899"/>
    <s v="20260501"/>
    <x v="0"/>
    <x v="0"/>
    <s v="A000 SUELDO BASICO"/>
    <n v="240"/>
    <x v="0"/>
    <x v="0"/>
    <n v="3899"/>
  </r>
  <r>
    <n v="1"/>
    <s v="1007874085A012 ASIGNACION FAMILIAR"/>
    <s v="1007874085"/>
    <s v="ROCIO DE LOURDES RAMOS CORI"/>
    <s v="07874085"/>
    <d v="2021-06-01T00:00:00"/>
    <n v="3899"/>
    <s v="20260501"/>
    <x v="1"/>
    <x v="1"/>
    <s v="A012 ASIGNACION FAMILIAR"/>
    <n v="0"/>
    <x v="1"/>
    <x v="0"/>
    <n v="113"/>
  </r>
  <r>
    <n v="1"/>
    <s v="1007874085D013 AUXILIO DE MOVILIDAD"/>
    <s v="1007874085"/>
    <s v="ROCIO DE LOURDES RAMOS CORI"/>
    <s v="07874085"/>
    <d v="2021-06-01T00:00:00"/>
    <n v="3899"/>
    <s v="20260501"/>
    <x v="2"/>
    <x v="2"/>
    <s v="D013 AUXILIO DE MOVILIDAD"/>
    <n v="0"/>
    <x v="2"/>
    <x v="0"/>
    <n v="36"/>
  </r>
  <r>
    <n v="1"/>
    <s v="1007874085R000 RETENCION IMPUESTO A LA RENTA"/>
    <s v="1007874085"/>
    <s v="ROCIO DE LOURDES RAMOS CORI"/>
    <s v="07874085"/>
    <d v="2021-06-01T00:00:00"/>
    <n v="3899"/>
    <s v="20260501"/>
    <x v="3"/>
    <x v="3"/>
    <s v="R000 RETENCION IMPUESTO A LA RENTA"/>
    <n v="0"/>
    <x v="3"/>
    <x v="1"/>
    <n v="-121.57"/>
  </r>
  <r>
    <n v="1"/>
    <s v="1007874085S006 DESCUENTO EPS"/>
    <s v="1007874085"/>
    <s v="ROCIO DE LOURDES RAMOS CORI"/>
    <s v="07874085"/>
    <d v="2021-06-01T00:00:00"/>
    <n v="3899"/>
    <s v="20260501"/>
    <x v="4"/>
    <x v="4"/>
    <s v="S006 DESCUENTO EPS"/>
    <n v="0"/>
    <x v="3"/>
    <x v="2"/>
    <n v="-202.42"/>
  </r>
  <r>
    <n v="2"/>
    <s v="1040703418A000 SUELDO BASICO"/>
    <s v="1040703418"/>
    <s v="FIORELLA GIOVANNA CHICHIZOLA CANALE"/>
    <s v="40703418"/>
    <d v="2015-09-10T00:00:00"/>
    <n v="3700"/>
    <s v="20260501"/>
    <x v="0"/>
    <x v="0"/>
    <s v="A000 SUELDO BASICO"/>
    <n v="216"/>
    <x v="4"/>
    <x v="0"/>
    <n v="3330"/>
  </r>
  <r>
    <n v="2"/>
    <s v="1040703418B100 DESCANSO MEDICO"/>
    <s v="1040703418"/>
    <s v="FIORELLA GIOVANNA CHICHIZOLA CANALE"/>
    <s v="40703418"/>
    <d v="2015-09-10T00:00:00"/>
    <n v="3700"/>
    <s v="20260501"/>
    <x v="5"/>
    <x v="5"/>
    <s v="B100 DESCANSO MEDICO"/>
    <n v="24"/>
    <x v="5"/>
    <x v="0"/>
    <n v="370"/>
  </r>
  <r>
    <n v="2"/>
    <s v="1040703418D013 AUXILIO DE MOVILIDAD"/>
    <s v="1040703418"/>
    <s v="FIORELLA GIOVANNA CHICHIZOLA CANALE"/>
    <s v="40703418"/>
    <d v="2015-09-10T00:00:00"/>
    <n v="3700"/>
    <s v="20260501"/>
    <x v="2"/>
    <x v="2"/>
    <s v="D013 AUXILIO DE MOVILIDAD"/>
    <n v="0"/>
    <x v="6"/>
    <x v="0"/>
    <n v="24"/>
  </r>
  <r>
    <n v="2"/>
    <s v="1040703418I100 APORTE OBLIGATORIO AFP"/>
    <s v="1040703418"/>
    <s v="FIORELLA GIOVANNA CHICHIZOLA CANALE"/>
    <s v="40703418"/>
    <d v="2015-09-10T00:00:00"/>
    <n v="3700"/>
    <s v="20260501"/>
    <x v="6"/>
    <x v="6"/>
    <s v="I100 APORTE OBLIGATORIO AFP"/>
    <n v="0"/>
    <x v="3"/>
    <x v="3"/>
    <n v="-370"/>
  </r>
  <r>
    <n v="2"/>
    <s v="1040703418I200 SOBREVIVENCIA AFP"/>
    <s v="1040703418"/>
    <s v="FIORELLA GIOVANNA CHICHIZOLA CANALE"/>
    <s v="40703418"/>
    <d v="2015-09-10T00:00:00"/>
    <n v="3700"/>
    <s v="20260501"/>
    <x v="7"/>
    <x v="7"/>
    <s v="I200 SOBREVIVENCIA AFP"/>
    <n v="0"/>
    <x v="3"/>
    <x v="4"/>
    <n v="-50.69"/>
  </r>
  <r>
    <n v="2"/>
    <s v="1040703418I300 COMISION VARIABLE AFP"/>
    <s v="1040703418"/>
    <s v="FIORELLA GIOVANNA CHICHIZOLA CANALE"/>
    <s v="40703418"/>
    <d v="2015-09-10T00:00:00"/>
    <n v="3700"/>
    <s v="20260501"/>
    <x v="8"/>
    <x v="8"/>
    <s v="I300 COMISION VARIABLE AFP"/>
    <n v="0"/>
    <x v="3"/>
    <x v="5"/>
    <n v="-57.35"/>
  </r>
  <r>
    <n v="2"/>
    <s v="1040703418R000 RETENCION IMPUESTO A LA RENTA"/>
    <s v="1040703418"/>
    <s v="FIORELLA GIOVANNA CHICHIZOLA CANALE"/>
    <s v="40703418"/>
    <d v="2015-09-10T00:00:00"/>
    <n v="3700"/>
    <s v="20260501"/>
    <x v="3"/>
    <x v="3"/>
    <s v="R000 RETENCION IMPUESTO A LA RENTA"/>
    <n v="0"/>
    <x v="3"/>
    <x v="6"/>
    <n v="-93.85"/>
  </r>
  <r>
    <n v="3"/>
    <s v="1044771836A000 SUELDO BASICO"/>
    <s v="1044771836"/>
    <s v="RONALD FLOREZ SUAREZ"/>
    <s v="44771836"/>
    <d v="2016-05-16T00:00:00"/>
    <n v="8842"/>
    <s v="20260501"/>
    <x v="0"/>
    <x v="0"/>
    <s v="A000 SUELDO BASICO"/>
    <n v="184"/>
    <x v="7"/>
    <x v="0"/>
    <n v="6778.87"/>
  </r>
  <r>
    <n v="3"/>
    <s v="1044771836G006 VACACIONES"/>
    <s v="1044771836"/>
    <s v="RONALD FLOREZ SUAREZ"/>
    <s v="44771836"/>
    <d v="2016-05-16T00:00:00"/>
    <n v="8842"/>
    <s v="20260501"/>
    <x v="9"/>
    <x v="9"/>
    <s v="G006 VACACIONES"/>
    <n v="56"/>
    <x v="8"/>
    <x v="0"/>
    <n v="2063.13"/>
  </r>
  <r>
    <n v="3"/>
    <s v="1044771836I100 APORTE OBLIGATORIO AFP"/>
    <s v="1044771836"/>
    <s v="RONALD FLOREZ SUAREZ"/>
    <s v="44771836"/>
    <d v="2016-05-16T00:00:00"/>
    <n v="8842"/>
    <s v="20260501"/>
    <x v="6"/>
    <x v="6"/>
    <s v="I100 APORTE OBLIGATORIO AFP"/>
    <n v="0"/>
    <x v="3"/>
    <x v="7"/>
    <n v="-884.2"/>
  </r>
  <r>
    <n v="3"/>
    <s v="1044771836I200 SOBREVIVENCIA AFP"/>
    <s v="1044771836"/>
    <s v="RONALD FLOREZ SUAREZ"/>
    <s v="44771836"/>
    <d v="2016-05-16T00:00:00"/>
    <n v="8842"/>
    <s v="20260501"/>
    <x v="7"/>
    <x v="7"/>
    <s v="I200 SOBREVIVENCIA AFP"/>
    <n v="0"/>
    <x v="3"/>
    <x v="8"/>
    <n v="-121.14"/>
  </r>
  <r>
    <n v="3"/>
    <s v="1044771836I300 COMISION VARIABLE AFP"/>
    <s v="1044771836"/>
    <s v="RONALD FLOREZ SUAREZ"/>
    <s v="44771836"/>
    <d v="2016-05-16T00:00:00"/>
    <n v="8842"/>
    <s v="20260501"/>
    <x v="8"/>
    <x v="8"/>
    <s v="I300 COMISION VARIABLE AFP"/>
    <n v="0"/>
    <x v="3"/>
    <x v="9"/>
    <n v="-149.43"/>
  </r>
  <r>
    <n v="3"/>
    <s v="1044771836R000 RETENCION IMPUESTO A LA RENTA"/>
    <s v="1044771836"/>
    <s v="RONALD FLOREZ SUAREZ"/>
    <s v="44771836"/>
    <d v="2016-05-16T00:00:00"/>
    <n v="8842"/>
    <s v="20260501"/>
    <x v="3"/>
    <x v="3"/>
    <s v="R000 RETENCION IMPUESTO A LA RENTA"/>
    <n v="0"/>
    <x v="3"/>
    <x v="10"/>
    <n v="-871.57"/>
  </r>
  <r>
    <n v="4"/>
    <s v="1045191394A000 SUELDO BASICO"/>
    <s v="1045191394"/>
    <s v="ALVARO JAVIER ARIAS BAUTISTA"/>
    <s v="45191394"/>
    <d v="2017-09-11T00:00:00"/>
    <n v="14615"/>
    <s v="20260501"/>
    <x v="0"/>
    <x v="0"/>
    <s v="A000 SUELDO BASICO"/>
    <n v="240"/>
    <x v="9"/>
    <x v="0"/>
    <n v="14615"/>
  </r>
  <r>
    <n v="4"/>
    <s v="1045191394I100 APORTE OBLIGATORIO AFP"/>
    <s v="1045191394"/>
    <s v="ALVARO JAVIER ARIAS BAUTISTA"/>
    <s v="45191394"/>
    <d v="2017-09-11T00:00:00"/>
    <n v="14615"/>
    <s v="20260501"/>
    <x v="6"/>
    <x v="6"/>
    <s v="I100 APORTE OBLIGATORIO AFP"/>
    <n v="0"/>
    <x v="3"/>
    <x v="11"/>
    <n v="-1461.5"/>
  </r>
  <r>
    <n v="4"/>
    <s v="1045191394I200 SOBREVIVENCIA AFP"/>
    <s v="1045191394"/>
    <s v="ALVARO JAVIER ARIAS BAUTISTA"/>
    <s v="45191394"/>
    <d v="2017-09-11T00:00:00"/>
    <n v="14615"/>
    <s v="20260501"/>
    <x v="7"/>
    <x v="7"/>
    <s v="I200 SOBREVIVENCIA AFP"/>
    <n v="0"/>
    <x v="3"/>
    <x v="12"/>
    <n v="-172.61"/>
  </r>
  <r>
    <n v="4"/>
    <s v="1045191394R000 RETENCION IMPUESTO A LA RENTA"/>
    <s v="1045191394"/>
    <s v="ALVARO JAVIER ARIAS BAUTISTA"/>
    <s v="45191394"/>
    <d v="2017-09-11T00:00:00"/>
    <n v="14615"/>
    <s v="20260501"/>
    <x v="3"/>
    <x v="3"/>
    <s v="R000 RETENCION IMPUESTO A LA RENTA"/>
    <n v="0"/>
    <x v="3"/>
    <x v="13"/>
    <n v="-1972.88"/>
  </r>
  <r>
    <n v="5"/>
    <s v="1046129072A000 SUELDO BASICO"/>
    <s v="1046129072"/>
    <s v="LAURA CAROLINA LIRA CANDIA"/>
    <s v="46129072"/>
    <d v="2017-01-30T00:00:00"/>
    <n v="3871"/>
    <s v="20260501"/>
    <x v="0"/>
    <x v="0"/>
    <s v="A000 SUELDO BASICO"/>
    <n v="184"/>
    <x v="10"/>
    <x v="0"/>
    <n v="2967.77"/>
  </r>
  <r>
    <n v="5"/>
    <s v="1046129072D013 AUXILIO DE MOVILIDAD"/>
    <s v="1046129072"/>
    <s v="LAURA CAROLINA LIRA CANDIA"/>
    <s v="46129072"/>
    <d v="2017-01-30T00:00:00"/>
    <n v="3871"/>
    <s v="20260501"/>
    <x v="2"/>
    <x v="2"/>
    <s v="D013 AUXILIO DE MOVILIDAD"/>
    <n v="0"/>
    <x v="2"/>
    <x v="0"/>
    <n v="36"/>
  </r>
  <r>
    <n v="5"/>
    <s v="1046129072G006 VACACIONES"/>
    <s v="1046129072"/>
    <s v="LAURA CAROLINA LIRA CANDIA"/>
    <s v="46129072"/>
    <d v="2017-01-30T00:00:00"/>
    <n v="3871"/>
    <s v="20260501"/>
    <x v="9"/>
    <x v="9"/>
    <s v="G006 VACACIONES"/>
    <n v="56"/>
    <x v="11"/>
    <x v="0"/>
    <n v="903.23"/>
  </r>
  <r>
    <n v="5"/>
    <s v="1046129072I100 APORTE OBLIGATORIO AFP"/>
    <s v="1046129072"/>
    <s v="LAURA CAROLINA LIRA CANDIA"/>
    <s v="46129072"/>
    <d v="2017-01-30T00:00:00"/>
    <n v="3871"/>
    <s v="20260501"/>
    <x v="6"/>
    <x v="6"/>
    <s v="I100 APORTE OBLIGATORIO AFP"/>
    <n v="0"/>
    <x v="3"/>
    <x v="14"/>
    <n v="-387.1"/>
  </r>
  <r>
    <n v="5"/>
    <s v="1046129072I200 SOBREVIVENCIA AFP"/>
    <s v="1046129072"/>
    <s v="LAURA CAROLINA LIRA CANDIA"/>
    <s v="46129072"/>
    <d v="2017-01-30T00:00:00"/>
    <n v="3871"/>
    <s v="20260501"/>
    <x v="7"/>
    <x v="7"/>
    <s v="I200 SOBREVIVENCIA AFP"/>
    <n v="0"/>
    <x v="3"/>
    <x v="15"/>
    <n v="-53.03"/>
  </r>
  <r>
    <n v="5"/>
    <s v="1046129072R000 RETENCION IMPUESTO A LA RENTA"/>
    <s v="1046129072"/>
    <s v="LAURA CAROLINA LIRA CANDIA"/>
    <s v="46129072"/>
    <d v="2017-01-30T00:00:00"/>
    <n v="3871"/>
    <s v="20260501"/>
    <x v="3"/>
    <x v="3"/>
    <s v="R000 RETENCION IMPUESTO A LA RENTA"/>
    <n v="0"/>
    <x v="3"/>
    <x v="16"/>
    <n v="-109.98"/>
  </r>
  <r>
    <n v="6"/>
    <s v="1046722547A000 SUELDO BASICO"/>
    <s v="1046722547"/>
    <s v="FELIX ALEJANDRO KOO RIOJA"/>
    <s v="46722547"/>
    <d v="2020-11-16T00:00:00"/>
    <n v="5733"/>
    <s v="20260501"/>
    <x v="0"/>
    <x v="0"/>
    <s v="A000 SUELDO BASICO"/>
    <n v="128"/>
    <x v="12"/>
    <x v="0"/>
    <n v="3057.6"/>
  </r>
  <r>
    <n v="6"/>
    <s v="1046722547G006 VACACIONES"/>
    <s v="1046722547"/>
    <s v="FELIX ALEJANDRO KOO RIOJA"/>
    <s v="46722547"/>
    <d v="2020-11-16T00:00:00"/>
    <n v="5733"/>
    <s v="20260501"/>
    <x v="9"/>
    <x v="9"/>
    <s v="G006 VACACIONES"/>
    <n v="112"/>
    <x v="13"/>
    <x v="0"/>
    <n v="2675.4"/>
  </r>
  <r>
    <n v="6"/>
    <s v="1046722547I100 APORTE OBLIGATORIO AFP"/>
    <s v="1046722547"/>
    <s v="FELIX ALEJANDRO KOO RIOJA"/>
    <s v="46722547"/>
    <d v="2020-11-16T00:00:00"/>
    <n v="5733"/>
    <s v="20260501"/>
    <x v="6"/>
    <x v="6"/>
    <s v="I100 APORTE OBLIGATORIO AFP"/>
    <n v="0"/>
    <x v="3"/>
    <x v="17"/>
    <n v="-573.29999999999995"/>
  </r>
  <r>
    <n v="6"/>
    <s v="1046722547I200 SOBREVIVENCIA AFP"/>
    <s v="1046722547"/>
    <s v="FELIX ALEJANDRO KOO RIOJA"/>
    <s v="46722547"/>
    <d v="2020-11-16T00:00:00"/>
    <n v="5733"/>
    <s v="20260501"/>
    <x v="7"/>
    <x v="7"/>
    <s v="I200 SOBREVIVENCIA AFP"/>
    <n v="0"/>
    <x v="3"/>
    <x v="18"/>
    <n v="-78.540000000000006"/>
  </r>
  <r>
    <n v="6"/>
    <s v="1046722547R000 RETENCION IMPUESTO A LA RENTA"/>
    <s v="1046722547"/>
    <s v="FELIX ALEJANDRO KOO RIOJA"/>
    <s v="46722547"/>
    <d v="2020-11-16T00:00:00"/>
    <n v="5733"/>
    <s v="20260501"/>
    <x v="3"/>
    <x v="3"/>
    <s v="R000 RETENCION IMPUESTO A LA RENTA"/>
    <n v="0"/>
    <x v="3"/>
    <x v="19"/>
    <n v="-363.08"/>
  </r>
  <r>
    <n v="7"/>
    <s v="1047924040A000 SUELDO BASICO"/>
    <s v="1047924040"/>
    <s v="MARÍA DEL CARMEN NEYRA ELLIOT"/>
    <s v="47924040"/>
    <d v="2016-09-19T00:00:00"/>
    <n v="6552"/>
    <s v="20260501"/>
    <x v="0"/>
    <x v="0"/>
    <s v="A000 SUELDO BASICO"/>
    <n v="144"/>
    <x v="14"/>
    <x v="0"/>
    <n v="3931.2"/>
  </r>
  <r>
    <n v="7"/>
    <s v="1047924040D013 AUXILIO DE MOVILIDAD"/>
    <s v="1047924040"/>
    <s v="MARÍA DEL CARMEN NEYRA ELLIOT"/>
    <s v="47924040"/>
    <d v="2016-09-19T00:00:00"/>
    <n v="6552"/>
    <s v="20260501"/>
    <x v="2"/>
    <x v="2"/>
    <s v="D013 AUXILIO DE MOVILIDAD"/>
    <n v="0"/>
    <x v="2"/>
    <x v="0"/>
    <n v="36"/>
  </r>
  <r>
    <n v="7"/>
    <s v="1047924040G006 VACACIONES"/>
    <s v="1047924040"/>
    <s v="MARÍA DEL CARMEN NEYRA ELLIOT"/>
    <s v="47924040"/>
    <d v="2016-09-19T00:00:00"/>
    <n v="6552"/>
    <s v="20260501"/>
    <x v="9"/>
    <x v="9"/>
    <s v="G006 VACACIONES"/>
    <n v="96"/>
    <x v="15"/>
    <x v="0"/>
    <n v="2620.8000000000002"/>
  </r>
  <r>
    <n v="7"/>
    <s v="1047924040I100 APORTE OBLIGATORIO AFP"/>
    <s v="1047924040"/>
    <s v="MARÍA DEL CARMEN NEYRA ELLIOT"/>
    <s v="47924040"/>
    <d v="2016-09-19T00:00:00"/>
    <n v="6552"/>
    <s v="20260501"/>
    <x v="6"/>
    <x v="6"/>
    <s v="I100 APORTE OBLIGATORIO AFP"/>
    <n v="0"/>
    <x v="3"/>
    <x v="20"/>
    <n v="-655.20000000000005"/>
  </r>
  <r>
    <n v="7"/>
    <s v="1047924040I200 SOBREVIVENCIA AFP"/>
    <s v="1047924040"/>
    <s v="MARÍA DEL CARMEN NEYRA ELLIOT"/>
    <s v="47924040"/>
    <d v="2016-09-19T00:00:00"/>
    <n v="6552"/>
    <s v="20260501"/>
    <x v="7"/>
    <x v="7"/>
    <s v="I200 SOBREVIVENCIA AFP"/>
    <n v="0"/>
    <x v="3"/>
    <x v="21"/>
    <n v="-89.76"/>
  </r>
  <r>
    <n v="7"/>
    <s v="1047924040R000 RETENCION IMPUESTO A LA RENTA"/>
    <s v="1047924040"/>
    <s v="MARÍA DEL CARMEN NEYRA ELLIOT"/>
    <s v="47924040"/>
    <d v="2016-09-19T00:00:00"/>
    <n v="6552"/>
    <s v="20260501"/>
    <x v="3"/>
    <x v="3"/>
    <s v="R000 RETENCION IMPUESTO A LA RENTA"/>
    <n v="0"/>
    <x v="3"/>
    <x v="22"/>
    <n v="-501.01"/>
  </r>
  <r>
    <n v="8"/>
    <s v="1070165336A000 SUELDO BASICO"/>
    <s v="1070165336"/>
    <s v="VICTOR DANIEL FERNANDEZ CASTILLO"/>
    <s v="70165336"/>
    <d v="2022-03-03T00:00:00"/>
    <n v="4099"/>
    <s v="20260501"/>
    <x v="0"/>
    <x v="0"/>
    <s v="A000 SUELDO BASICO"/>
    <n v="184"/>
    <x v="16"/>
    <x v="0"/>
    <n v="3142.57"/>
  </r>
  <r>
    <n v="8"/>
    <s v="1070165336D013 AUXILIO DE MOVILIDAD"/>
    <s v="1070165336"/>
    <s v="VICTOR DANIEL FERNANDEZ CASTILLO"/>
    <s v="70165336"/>
    <d v="2022-03-03T00:00:00"/>
    <n v="4099"/>
    <s v="20260501"/>
    <x v="2"/>
    <x v="2"/>
    <s v="D013 AUXILIO DE MOVILIDAD"/>
    <n v="0"/>
    <x v="2"/>
    <x v="0"/>
    <n v="36"/>
  </r>
  <r>
    <n v="8"/>
    <s v="1070165336G006 VACACIONES"/>
    <s v="1070165336"/>
    <s v="VICTOR DANIEL FERNANDEZ CASTILLO"/>
    <s v="70165336"/>
    <d v="2022-03-03T00:00:00"/>
    <n v="4099"/>
    <s v="20260501"/>
    <x v="9"/>
    <x v="9"/>
    <s v="G006 VACACIONES"/>
    <n v="56"/>
    <x v="17"/>
    <x v="0"/>
    <n v="956.43"/>
  </r>
  <r>
    <n v="8"/>
    <s v="1070165336I100 APORTE OBLIGATORIO AFP"/>
    <s v="1070165336"/>
    <s v="VICTOR DANIEL FERNANDEZ CASTILLO"/>
    <s v="70165336"/>
    <d v="2022-03-03T00:00:00"/>
    <n v="4099"/>
    <s v="20260501"/>
    <x v="6"/>
    <x v="6"/>
    <s v="I100 APORTE OBLIGATORIO AFP"/>
    <n v="0"/>
    <x v="3"/>
    <x v="23"/>
    <n v="-409.9"/>
  </r>
  <r>
    <n v="8"/>
    <s v="1070165336I200 SOBREVIVENCIA AFP"/>
    <s v="1070165336"/>
    <s v="VICTOR DANIEL FERNANDEZ CASTILLO"/>
    <s v="70165336"/>
    <d v="2022-03-03T00:00:00"/>
    <n v="4099"/>
    <s v="20260501"/>
    <x v="7"/>
    <x v="7"/>
    <s v="I200 SOBREVIVENCIA AFP"/>
    <n v="0"/>
    <x v="3"/>
    <x v="24"/>
    <n v="-56.16"/>
  </r>
  <r>
    <n v="8"/>
    <s v="1070165336R000 RETENCION IMPUESTO A LA RENTA"/>
    <s v="1070165336"/>
    <s v="VICTOR DANIEL FERNANDEZ CASTILLO"/>
    <s v="70165336"/>
    <d v="2022-03-03T00:00:00"/>
    <n v="4099"/>
    <s v="20260501"/>
    <x v="3"/>
    <x v="3"/>
    <s v="R000 RETENCION IMPUESTO A LA RENTA"/>
    <n v="0"/>
    <x v="3"/>
    <x v="25"/>
    <n v="-131.63"/>
  </r>
  <r>
    <n v="9"/>
    <s v="1070680748A000 SUELDO BASICO"/>
    <s v="1070680748"/>
    <s v="LIZ VALERIA SOLANO CARRILLO"/>
    <s v="70680748"/>
    <d v="2022-11-14T00:00:00"/>
    <n v="6125"/>
    <s v="20260501"/>
    <x v="0"/>
    <x v="0"/>
    <s v="A000 SUELDO BASICO"/>
    <n v="152"/>
    <x v="18"/>
    <x v="0"/>
    <n v="3879.17"/>
  </r>
  <r>
    <n v="9"/>
    <s v="1070680748A012 ASIGNACION FAMILIAR"/>
    <s v="1070680748"/>
    <s v="LIZ VALERIA SOLANO CARRILLO"/>
    <s v="70680748"/>
    <d v="2022-11-14T00:00:00"/>
    <n v="6125"/>
    <s v="20260501"/>
    <x v="1"/>
    <x v="1"/>
    <s v="A012 ASIGNACION FAMILIAR"/>
    <n v="0"/>
    <x v="1"/>
    <x v="0"/>
    <n v="113"/>
  </r>
  <r>
    <n v="9"/>
    <s v="1070680748G006 VACACIONES"/>
    <s v="1070680748"/>
    <s v="LIZ VALERIA SOLANO CARRILLO"/>
    <s v="70680748"/>
    <d v="2022-11-14T00:00:00"/>
    <n v="6125"/>
    <s v="20260501"/>
    <x v="9"/>
    <x v="9"/>
    <s v="G006 VACACIONES"/>
    <n v="88"/>
    <x v="19"/>
    <x v="0"/>
    <n v="2245.83"/>
  </r>
  <r>
    <n v="9"/>
    <s v="1070680748I100 APORTE OBLIGATORIO AFP"/>
    <s v="1070680748"/>
    <s v="LIZ VALERIA SOLANO CARRILLO"/>
    <s v="70680748"/>
    <d v="2022-11-14T00:00:00"/>
    <n v="6125"/>
    <s v="20260501"/>
    <x v="6"/>
    <x v="6"/>
    <s v="I100 APORTE OBLIGATORIO AFP"/>
    <n v="0"/>
    <x v="3"/>
    <x v="26"/>
    <n v="-810.94"/>
  </r>
  <r>
    <n v="9"/>
    <s v="1070680748R000 RETENCION IMPUESTO A LA RENTA"/>
    <s v="1070680748"/>
    <s v="LIZ VALERIA SOLANO CARRILLO"/>
    <s v="70680748"/>
    <d v="2022-11-14T00:00:00"/>
    <n v="6125"/>
    <s v="20260501"/>
    <x v="3"/>
    <x v="3"/>
    <s v="R000 RETENCION IMPUESTO A LA RENTA"/>
    <n v="0"/>
    <x v="3"/>
    <x v="27"/>
    <n v="-440.35"/>
  </r>
  <r>
    <n v="10"/>
    <s v="1072251509A000 SUELDO BASICO"/>
    <s v="1072251509"/>
    <s v="CYNTHIA FIORELLA HUAMAN TORRES"/>
    <s v="72251509"/>
    <d v="2018-05-21T00:00:00"/>
    <n v="4631"/>
    <s v="20260501"/>
    <x v="0"/>
    <x v="0"/>
    <s v="A000 SUELDO BASICO"/>
    <n v="168"/>
    <x v="20"/>
    <x v="0"/>
    <n v="3241.7"/>
  </r>
  <r>
    <n v="10"/>
    <s v="1072251509A012 ASIGNACION FAMILIAR"/>
    <s v="1072251509"/>
    <s v="CYNTHIA FIORELLA HUAMAN TORRES"/>
    <s v="72251509"/>
    <d v="2018-05-21T00:00:00"/>
    <n v="4631"/>
    <s v="20260501"/>
    <x v="1"/>
    <x v="1"/>
    <s v="A012 ASIGNACION FAMILIAR"/>
    <n v="0"/>
    <x v="1"/>
    <x v="0"/>
    <n v="113"/>
  </r>
  <r>
    <n v="10"/>
    <s v="1072251509D013 AUXILIO DE MOVILIDAD"/>
    <s v="1072251509"/>
    <s v="CYNTHIA FIORELLA HUAMAN TORRES"/>
    <s v="72251509"/>
    <d v="2018-05-21T00:00:00"/>
    <n v="4631"/>
    <s v="20260501"/>
    <x v="2"/>
    <x v="2"/>
    <s v="D013 AUXILIO DE MOVILIDAD"/>
    <n v="0"/>
    <x v="21"/>
    <x v="0"/>
    <n v="32"/>
  </r>
  <r>
    <n v="10"/>
    <s v="1072251509G006 VACACIONES"/>
    <s v="1072251509"/>
    <s v="CYNTHIA FIORELLA HUAMAN TORRES"/>
    <s v="72251509"/>
    <d v="2018-05-21T00:00:00"/>
    <n v="4631"/>
    <s v="20260501"/>
    <x v="9"/>
    <x v="9"/>
    <s v="G006 VACACIONES"/>
    <n v="72"/>
    <x v="22"/>
    <x v="0"/>
    <n v="1389.3"/>
  </r>
  <r>
    <n v="10"/>
    <s v="1072251509I100 APORTE OBLIGATORIO AFP"/>
    <s v="1072251509"/>
    <s v="CYNTHIA FIORELLA HUAMAN TORRES"/>
    <s v="72251509"/>
    <d v="2018-05-21T00:00:00"/>
    <n v="4631"/>
    <s v="20260501"/>
    <x v="6"/>
    <x v="6"/>
    <s v="I100 APORTE OBLIGATORIO AFP"/>
    <n v="0"/>
    <x v="3"/>
    <x v="28"/>
    <n v="-474.4"/>
  </r>
  <r>
    <n v="10"/>
    <s v="1072251509I200 SOBREVIVENCIA AFP"/>
    <s v="1072251509"/>
    <s v="CYNTHIA FIORELLA HUAMAN TORRES"/>
    <s v="72251509"/>
    <d v="2018-05-21T00:00:00"/>
    <n v="4631"/>
    <s v="20260501"/>
    <x v="7"/>
    <x v="7"/>
    <s v="I200 SOBREVIVENCIA AFP"/>
    <n v="0"/>
    <x v="3"/>
    <x v="29"/>
    <n v="-64.989999999999995"/>
  </r>
  <r>
    <n v="10"/>
    <s v="1072251509R000 RETENCION IMPUESTO A LA RENTA"/>
    <s v="1072251509"/>
    <s v="CYNTHIA FIORELLA HUAMAN TORRES"/>
    <s v="72251509"/>
    <d v="2018-05-21T00:00:00"/>
    <n v="4631"/>
    <s v="20260501"/>
    <x v="3"/>
    <x v="3"/>
    <s v="R000 RETENCION IMPUESTO A LA RENTA"/>
    <n v="0"/>
    <x v="3"/>
    <x v="30"/>
    <n v="-197.7"/>
  </r>
  <r>
    <n v="11"/>
    <s v="1077485287A000 SUELDO BASICO"/>
    <s v="1077485287"/>
    <s v="ZULEMA BELINDA CADILLO BRITO"/>
    <s v="77485287"/>
    <d v="2024-02-01T00:00:00"/>
    <n v="2142"/>
    <s v="20260501"/>
    <x v="0"/>
    <x v="0"/>
    <s v="A000 SUELDO BASICO"/>
    <n v="240"/>
    <x v="23"/>
    <x v="0"/>
    <n v="2142"/>
  </r>
  <r>
    <n v="11"/>
    <s v="1077485287D013 AUXILIO DE MOVILIDAD"/>
    <s v="1077485287"/>
    <s v="ZULEMA BELINDA CADILLO BRITO"/>
    <s v="77485287"/>
    <d v="2024-02-01T00:00:00"/>
    <n v="2142"/>
    <s v="20260501"/>
    <x v="2"/>
    <x v="2"/>
    <s v="D013 AUXILIO DE MOVILIDAD"/>
    <n v="0"/>
    <x v="24"/>
    <x v="0"/>
    <n v="48"/>
  </r>
  <r>
    <n v="11"/>
    <s v="1077485287I100 APORTE OBLIGATORIO AFP"/>
    <s v="1077485287"/>
    <s v="ZULEMA BELINDA CADILLO BRITO"/>
    <s v="77485287"/>
    <d v="2024-02-01T00:00:00"/>
    <n v="2142"/>
    <s v="20260501"/>
    <x v="6"/>
    <x v="6"/>
    <s v="I100 APORTE OBLIGATORIO AFP"/>
    <n v="0"/>
    <x v="3"/>
    <x v="31"/>
    <n v="-214.2"/>
  </r>
  <r>
    <n v="11"/>
    <s v="1077485287I200 SOBREVIVENCIA AFP"/>
    <s v="1077485287"/>
    <s v="ZULEMA BELINDA CADILLO BRITO"/>
    <s v="77485287"/>
    <d v="2024-02-01T00:00:00"/>
    <n v="2142"/>
    <s v="20260501"/>
    <x v="7"/>
    <x v="7"/>
    <s v="I200 SOBREVIVENCIA AFP"/>
    <n v="0"/>
    <x v="3"/>
    <x v="32"/>
    <n v="-29.35"/>
  </r>
  <r>
    <n v="12"/>
    <s v="2001252358A000 SUELDO BASICO"/>
    <s v="2001252358"/>
    <s v="JOSE NORBERT MARQUIS XXX"/>
    <s v="001252358"/>
    <d v="2016-03-09T00:00:00"/>
    <n v="6644"/>
    <s v="20260501"/>
    <x v="0"/>
    <x v="0"/>
    <s v="A000 SUELDO BASICO"/>
    <n v="240"/>
    <x v="25"/>
    <x v="0"/>
    <n v="6644"/>
  </r>
  <r>
    <n v="12"/>
    <s v="2001252358D013 AUXILIO DE MOVILIDAD"/>
    <s v="2001252358"/>
    <s v="JOSE NORBERT MARQUIS XXX"/>
    <s v="001252358"/>
    <d v="2016-03-09T00:00:00"/>
    <n v="6644"/>
    <s v="20260501"/>
    <x v="2"/>
    <x v="2"/>
    <s v="D013 AUXILIO DE MOVILIDAD"/>
    <n v="0"/>
    <x v="24"/>
    <x v="0"/>
    <n v="48"/>
  </r>
  <r>
    <n v="12"/>
    <s v="2001252358I100 APORTE OBLIGATORIO AFP"/>
    <s v="2001252358"/>
    <s v="JOSE NORBERT MARQUIS XXX"/>
    <s v="001252358"/>
    <d v="2016-03-09T00:00:00"/>
    <n v="6644"/>
    <s v="20260501"/>
    <x v="6"/>
    <x v="6"/>
    <s v="I100 APORTE OBLIGATORIO AFP"/>
    <n v="0"/>
    <x v="3"/>
    <x v="33"/>
    <n v="-664.4"/>
  </r>
  <r>
    <n v="12"/>
    <s v="2001252358I200 SOBREVIVENCIA AFP"/>
    <s v="2001252358"/>
    <s v="JOSE NORBERT MARQUIS XXX"/>
    <s v="001252358"/>
    <d v="2016-03-09T00:00:00"/>
    <n v="6644"/>
    <s v="20260501"/>
    <x v="7"/>
    <x v="7"/>
    <s v="I200 SOBREVIVENCIA AFP"/>
    <n v="0"/>
    <x v="3"/>
    <x v="34"/>
    <n v="-91.02"/>
  </r>
  <r>
    <n v="12"/>
    <s v="2001252358R000 RETENCION IMPUESTO A LA RENTA"/>
    <s v="2001252358"/>
    <s v="JOSE NORBERT MARQUIS XXX"/>
    <s v="001252358"/>
    <d v="2016-03-09T00:00:00"/>
    <n v="6644"/>
    <s v="20260501"/>
    <x v="3"/>
    <x v="3"/>
    <s v="R000 RETENCION IMPUESTO A LA RENTA"/>
    <n v="0"/>
    <x v="3"/>
    <x v="35"/>
    <n v="-513.58000000000004"/>
  </r>
  <r>
    <n v="13"/>
    <s v="42115329A000 SUELDO BASICO"/>
    <s v="42115329"/>
    <s v="SARA MILAGROS SOTO LLOCLLA"/>
    <s v="42115329"/>
    <d v="2025-03-24T00:00:00"/>
    <n v="3090"/>
    <s v="20260501"/>
    <x v="0"/>
    <x v="0"/>
    <s v="A000 SUELDO BASICO"/>
    <n v="240"/>
    <x v="26"/>
    <x v="0"/>
    <n v="3090"/>
  </r>
  <r>
    <n v="13"/>
    <s v="42115329D013 AUXILIO DE MOVILIDAD"/>
    <s v="42115329"/>
    <s v="SARA MILAGROS SOTO LLOCLLA"/>
    <s v="42115329"/>
    <d v="2025-03-24T00:00:00"/>
    <n v="3090"/>
    <s v="20260501"/>
    <x v="2"/>
    <x v="2"/>
    <s v="D013 AUXILIO DE MOVILIDAD"/>
    <n v="0"/>
    <x v="2"/>
    <x v="0"/>
    <n v="36"/>
  </r>
  <r>
    <n v="13"/>
    <s v="42115329I100 APORTE OBLIGATORIO AFP"/>
    <s v="42115329"/>
    <s v="SARA MILAGROS SOTO LLOCLLA"/>
    <s v="42115329"/>
    <d v="2025-03-24T00:00:00"/>
    <n v="3090"/>
    <s v="20260501"/>
    <x v="6"/>
    <x v="6"/>
    <s v="I100 APORTE OBLIGATORIO AFP"/>
    <n v="0"/>
    <x v="3"/>
    <x v="36"/>
    <n v="-309"/>
  </r>
  <r>
    <n v="13"/>
    <s v="42115329I200 SOBREVIVENCIA AFP"/>
    <s v="42115329"/>
    <s v="SARA MILAGROS SOTO LLOCLLA"/>
    <s v="42115329"/>
    <d v="2025-03-24T00:00:00"/>
    <n v="3090"/>
    <s v="20260501"/>
    <x v="7"/>
    <x v="7"/>
    <s v="I200 SOBREVIVENCIA AFP"/>
    <n v="0"/>
    <x v="3"/>
    <x v="37"/>
    <n v="-42.33"/>
  </r>
  <r>
    <n v="13"/>
    <s v="42115329I300 COMISION VARIABLE AFP"/>
    <s v="42115329"/>
    <s v="SARA MILAGROS SOTO LLOCLLA"/>
    <s v="42115329"/>
    <d v="2025-03-24T00:00:00"/>
    <n v="3090"/>
    <s v="20260501"/>
    <x v="8"/>
    <x v="8"/>
    <s v="I300 COMISION VARIABLE AFP"/>
    <n v="0"/>
    <x v="3"/>
    <x v="38"/>
    <n v="-47.9"/>
  </r>
  <r>
    <n v="13"/>
    <s v="42115329R000 RETENCION IMPUESTO A LA RENTA"/>
    <s v="42115329"/>
    <s v="SARA MILAGROS SOTO LLOCLLA"/>
    <s v="42115329"/>
    <d v="2025-03-24T00:00:00"/>
    <n v="3090"/>
    <s v="20260501"/>
    <x v="3"/>
    <x v="3"/>
    <s v="R000 RETENCION IMPUESTO A LA RENTA"/>
    <n v="0"/>
    <x v="3"/>
    <x v="39"/>
    <n v="-36.25"/>
  </r>
  <r>
    <n v="14"/>
    <s v="42683912A000 SUELDO BASICO"/>
    <s v="42683912"/>
    <s v="GUILLERMO HENRY HIRAOKA MARINA"/>
    <s v="42683912"/>
    <d v="2024-12-11T00:00:00"/>
    <n v="5768"/>
    <s v="20260501"/>
    <x v="0"/>
    <x v="0"/>
    <s v="A000 SUELDO BASICO"/>
    <n v="240"/>
    <x v="27"/>
    <x v="0"/>
    <n v="5768"/>
  </r>
  <r>
    <n v="14"/>
    <s v="42683912D013 AUXILIO DE MOVILIDAD"/>
    <s v="42683912"/>
    <s v="GUILLERMO HENRY HIRAOKA MARINA"/>
    <s v="42683912"/>
    <d v="2024-12-11T00:00:00"/>
    <n v="5768"/>
    <s v="20260501"/>
    <x v="2"/>
    <x v="2"/>
    <s v="D013 AUXILIO DE MOVILIDAD"/>
    <n v="0"/>
    <x v="24"/>
    <x v="0"/>
    <n v="48"/>
  </r>
  <r>
    <n v="14"/>
    <s v="42683912I100 APORTE OBLIGATORIO AFP"/>
    <s v="42683912"/>
    <s v="GUILLERMO HENRY HIRAOKA MARINA"/>
    <s v="42683912"/>
    <d v="2024-12-11T00:00:00"/>
    <n v="5768"/>
    <s v="20260501"/>
    <x v="6"/>
    <x v="6"/>
    <s v="I100 APORTE OBLIGATORIO AFP"/>
    <n v="0"/>
    <x v="3"/>
    <x v="40"/>
    <n v="-576.79999999999995"/>
  </r>
  <r>
    <n v="14"/>
    <s v="42683912I200 SOBREVIVENCIA AFP"/>
    <s v="42683912"/>
    <s v="GUILLERMO HENRY HIRAOKA MARINA"/>
    <s v="42683912"/>
    <d v="2024-12-11T00:00:00"/>
    <n v="5768"/>
    <s v="20260501"/>
    <x v="7"/>
    <x v="7"/>
    <s v="I200 SOBREVIVENCIA AFP"/>
    <n v="0"/>
    <x v="3"/>
    <x v="41"/>
    <n v="-79.02"/>
  </r>
  <r>
    <n v="14"/>
    <s v="42683912R000 RETENCION IMPUESTO A LA RENTA"/>
    <s v="42683912"/>
    <s v="GUILLERMO HENRY HIRAOKA MARINA"/>
    <s v="42683912"/>
    <d v="2024-12-11T00:00:00"/>
    <n v="5768"/>
    <s v="20260501"/>
    <x v="3"/>
    <x v="3"/>
    <s v="R000 RETENCION IMPUESTO A LA RENTA"/>
    <n v="0"/>
    <x v="3"/>
    <x v="42"/>
    <n v="-368.65"/>
  </r>
  <r>
    <n v="15"/>
    <s v="72836862A000 SUELDO BASICO"/>
    <s v="72836862"/>
    <s v="JACKELINE NANCY MEJIA DOLORES"/>
    <s v="72836862"/>
    <d v="2023-10-09T00:00:00"/>
    <n v="2652"/>
    <s v="20260501"/>
    <x v="0"/>
    <x v="0"/>
    <s v="A000 SUELDO BASICO"/>
    <n v="168"/>
    <x v="28"/>
    <x v="0"/>
    <n v="1856.4"/>
  </r>
  <r>
    <n v="15"/>
    <s v="72836862D013 AUXILIO DE MOVILIDAD"/>
    <s v="72836862"/>
    <s v="JACKELINE NANCY MEJIA DOLORES"/>
    <s v="72836862"/>
    <d v="2023-10-09T00:00:00"/>
    <n v="2652"/>
    <s v="20260501"/>
    <x v="2"/>
    <x v="2"/>
    <s v="D013 AUXILIO DE MOVILIDAD"/>
    <n v="0"/>
    <x v="21"/>
    <x v="0"/>
    <n v="32"/>
  </r>
  <r>
    <n v="15"/>
    <s v="72836862G006 VACACIONES"/>
    <s v="72836862"/>
    <s v="JACKELINE NANCY MEJIA DOLORES"/>
    <s v="72836862"/>
    <d v="2023-10-09T00:00:00"/>
    <n v="2652"/>
    <s v="20260501"/>
    <x v="9"/>
    <x v="9"/>
    <s v="G006 VACACIONES"/>
    <n v="72"/>
    <x v="29"/>
    <x v="0"/>
    <n v="795.6"/>
  </r>
  <r>
    <n v="15"/>
    <s v="72836862I100 APORTE OBLIGATORIO AFP"/>
    <s v="72836862"/>
    <s v="JACKELINE NANCY MEJIA DOLORES"/>
    <s v="72836862"/>
    <d v="2023-10-09T00:00:00"/>
    <n v="2652"/>
    <s v="20260501"/>
    <x v="6"/>
    <x v="6"/>
    <s v="I100 APORTE OBLIGATORIO AFP"/>
    <n v="0"/>
    <x v="3"/>
    <x v="43"/>
    <n v="-265.2"/>
  </r>
  <r>
    <n v="15"/>
    <s v="72836862I200 SOBREVIVENCIA AFP"/>
    <s v="72836862"/>
    <s v="JACKELINE NANCY MEJIA DOLORES"/>
    <s v="72836862"/>
    <d v="2023-10-09T00:00:00"/>
    <n v="2652"/>
    <s v="20260501"/>
    <x v="7"/>
    <x v="7"/>
    <s v="I200 SOBREVIVENCIA AFP"/>
    <n v="0"/>
    <x v="3"/>
    <x v="44"/>
    <n v="-36.33"/>
  </r>
  <r>
    <n v="16"/>
    <s v="74026184A006 SUBVENCION ECONOMICA"/>
    <s v="74026184"/>
    <s v="JACKELINE TAMARA FAJARDO APOLAYA"/>
    <s v="74026184"/>
    <d v="2026-05-11T00:00:00"/>
    <n v="1130"/>
    <s v="20260501"/>
    <x v="10"/>
    <x v="10"/>
    <s v="A006 SUBVENCION ECONOMICA"/>
    <n v="160"/>
    <x v="30"/>
    <x v="0"/>
    <n v="753.33"/>
  </r>
  <r>
    <n v="17"/>
    <s v="76607245A006 SUBVENCION ECONOMICA"/>
    <s v="76607245"/>
    <s v="STEFFANY FELICIA CAICEDO ROSADO"/>
    <s v="76607245"/>
    <d v="2025-03-24T00:00:00"/>
    <n v="1130"/>
    <s v="20260501"/>
    <x v="10"/>
    <x v="10"/>
    <s v="A006 SUBVENCION ECONOMICA"/>
    <n v="216"/>
    <x v="31"/>
    <x v="0"/>
    <n v="1017"/>
  </r>
  <r>
    <n v="17"/>
    <s v="76607245G006 VACACIONES"/>
    <s v="76607245"/>
    <s v="STEFFANY FELICIA CAICEDO ROSADO"/>
    <s v="76607245"/>
    <d v="2025-03-24T00:00:00"/>
    <n v="1130"/>
    <s v="20260501"/>
    <x v="9"/>
    <x v="9"/>
    <s v="G006 VACACIONES"/>
    <n v="24"/>
    <x v="1"/>
    <x v="0"/>
    <n v="113"/>
  </r>
  <r>
    <m/>
    <m/>
    <m/>
    <m/>
    <m/>
    <m/>
    <m/>
    <m/>
    <x v="11"/>
    <x v="11"/>
    <m/>
    <m/>
    <x v="32"/>
    <x v="4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0A808-5D82-4694-8AF2-8A37DC17076C}" name="TablaDinámica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Q4:T16" firstHeaderRow="0" firstDataRow="1" firstDataCol="2" rowPageCount="2" colPageCount="1"/>
  <pivotFields count="15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6" outline="0" subtotalTop="0" showAll="0" defaultSubtotal="0"/>
    <pivotField compact="0" numFmtId="165" outline="0" subtotalTop="0" showAll="0" defaultSubtotal="0"/>
    <pivotField compact="0" outline="0" subtotalTop="0" showAll="0" defaultSubtotal="0"/>
    <pivotField axis="axisRow" compact="0" outline="0" subtotalTop="0" showAll="0" sortType="ascending" defaultSubtotal="0">
      <items count="12">
        <item x="0"/>
        <item x="10"/>
        <item x="1"/>
        <item x="5"/>
        <item x="2"/>
        <item x="9"/>
        <item x="6"/>
        <item x="7"/>
        <item x="8"/>
        <item x="3"/>
        <item x="4"/>
        <item x="11"/>
      </items>
    </pivotField>
    <pivotField axis="axisRow" compact="0" outline="0" subtotalTop="0" showAll="0" defaultSubtotal="0">
      <items count="12">
        <item x="6"/>
        <item x="1"/>
        <item x="2"/>
        <item x="8"/>
        <item x="4"/>
        <item x="3"/>
        <item x="7"/>
        <item x="0"/>
        <item x="9"/>
        <item x="10"/>
        <item x="11"/>
        <item x="5"/>
      </items>
    </pivotField>
    <pivotField compact="0" outline="0" subtotalTop="0" showAll="0" defaultSubtotal="0"/>
    <pivotField compact="0" outline="0" subtotalTop="0" showAll="0" defaultSubtotal="0"/>
    <pivotField name="DIA" axis="axisPage" dataField="1" compact="0" numFmtId="165" outline="0" subtotalTop="0" multipleItemSelectionAllowed="1" showAll="0" defaultSubtotal="0">
      <items count="74">
        <item x="3"/>
        <item x="1"/>
        <item m="1" x="63"/>
        <item m="1" x="73"/>
        <item m="1" x="57"/>
        <item x="24"/>
        <item m="1" x="59"/>
        <item m="1" x="61"/>
        <item m="1" x="62"/>
        <item m="1" x="55"/>
        <item m="1" x="56"/>
        <item m="1" x="36"/>
        <item m="1" x="60"/>
        <item m="1" x="69"/>
        <item x="21"/>
        <item m="1" x="70"/>
        <item m="1" x="71"/>
        <item m="1" x="58"/>
        <item m="1" x="72"/>
        <item x="2"/>
        <item m="1" x="64"/>
        <item m="1" x="48"/>
        <item m="1" x="65"/>
        <item m="1" x="66"/>
        <item m="1" x="67"/>
        <item m="1" x="68"/>
        <item x="32"/>
        <item x="0"/>
        <item m="1" x="33"/>
        <item m="1" x="34"/>
        <item m="1" x="35"/>
        <item m="1" x="37"/>
        <item m="1" x="38"/>
        <item m="1" x="39"/>
        <item x="12"/>
        <item x="13"/>
        <item m="1" x="40"/>
        <item m="1" x="41"/>
        <item m="1" x="42"/>
        <item m="1" x="43"/>
        <item m="1" x="44"/>
        <item m="1" x="45"/>
        <item m="1" x="46"/>
        <item m="1" x="47"/>
        <item m="1" x="49"/>
        <item x="23"/>
        <item x="25"/>
        <item m="1" x="50"/>
        <item m="1" x="51"/>
        <item x="27"/>
        <item m="1" x="52"/>
        <item m="1" x="53"/>
        <item m="1" x="54"/>
        <item x="4"/>
        <item x="5"/>
        <item x="6"/>
        <item x="7"/>
        <item x="8"/>
        <item x="9"/>
        <item x="10"/>
        <item x="11"/>
        <item x="14"/>
        <item x="15"/>
        <item x="16"/>
        <item x="17"/>
        <item x="18"/>
        <item x="19"/>
        <item x="20"/>
        <item x="22"/>
        <item x="26"/>
        <item x="28"/>
        <item x="29"/>
        <item x="30"/>
        <item x="31"/>
      </items>
    </pivotField>
    <pivotField axis="axisPage" dataField="1" compact="0" numFmtId="165" outline="0" subtotalTop="0" multipleItemSelectionAllowed="1" showAll="0" defaultSubtotal="0">
      <items count="95">
        <item x="0"/>
        <item x="2"/>
        <item m="1" x="68"/>
        <item m="1" x="69"/>
        <item m="1" x="60"/>
        <item m="1" x="61"/>
        <item m="1" x="62"/>
        <item x="7"/>
        <item x="8"/>
        <item x="9"/>
        <item m="1" x="55"/>
        <item m="1" x="74"/>
        <item m="1" x="75"/>
        <item m="1" x="85"/>
        <item m="1" x="64"/>
        <item m="1" x="65"/>
        <item m="1" x="71"/>
        <item m="1" x="72"/>
        <item m="1" x="83"/>
        <item m="1" x="84"/>
        <item m="1" x="86"/>
        <item m="1" x="91"/>
        <item m="1" x="92"/>
        <item m="1" x="93"/>
        <item m="1" x="89"/>
        <item m="1" x="80"/>
        <item m="1" x="81"/>
        <item m="1" x="77"/>
        <item m="1" x="78"/>
        <item m="1" x="67"/>
        <item m="1" x="56"/>
        <item m="1" x="57"/>
        <item m="1" x="76"/>
        <item m="1" x="90"/>
        <item m="1" x="58"/>
        <item m="1" x="59"/>
        <item m="1" x="63"/>
        <item m="1" x="66"/>
        <item m="1" x="70"/>
        <item m="1" x="73"/>
        <item m="1" x="79"/>
        <item m="1" x="82"/>
        <item m="1" x="87"/>
        <item m="1" x="88"/>
        <item m="1" x="94"/>
        <item x="45"/>
        <item m="1" x="46"/>
        <item x="3"/>
        <item x="4"/>
        <item x="5"/>
        <item m="1" x="47"/>
        <item x="10"/>
        <item x="11"/>
        <item x="12"/>
        <item x="13"/>
        <item x="14"/>
        <item x="15"/>
        <item m="1" x="48"/>
        <item x="17"/>
        <item x="18"/>
        <item x="19"/>
        <item x="20"/>
        <item x="21"/>
        <item m="1" x="49"/>
        <item x="23"/>
        <item x="24"/>
        <item m="1" x="50"/>
        <item x="26"/>
        <item x="27"/>
        <item x="28"/>
        <item x="29"/>
        <item m="1" x="51"/>
        <item x="31"/>
        <item x="32"/>
        <item x="33"/>
        <item x="34"/>
        <item m="1" x="52"/>
        <item x="36"/>
        <item x="37"/>
        <item x="38"/>
        <item m="1" x="53"/>
        <item x="40"/>
        <item x="41"/>
        <item m="1" x="54"/>
        <item x="43"/>
        <item x="44"/>
        <item x="1"/>
        <item x="6"/>
        <item x="16"/>
        <item x="22"/>
        <item x="25"/>
        <item x="30"/>
        <item x="35"/>
        <item x="39"/>
        <item x="42"/>
      </items>
    </pivotField>
    <pivotField compact="0" numFmtId="165" outline="0" subtotalTop="0" showAll="0" defaultSubtotal="0"/>
  </pivotFields>
  <rowFields count="2">
    <field x="8"/>
    <field x="9"/>
  </rowFields>
  <rowItems count="12">
    <i>
      <x/>
      <x v="7"/>
    </i>
    <i>
      <x v="1"/>
      <x v="9"/>
    </i>
    <i>
      <x v="2"/>
      <x v="1"/>
    </i>
    <i>
      <x v="3"/>
      <x v="11"/>
    </i>
    <i>
      <x v="4"/>
      <x v="2"/>
    </i>
    <i>
      <x v="5"/>
      <x v="8"/>
    </i>
    <i>
      <x v="6"/>
      <x/>
    </i>
    <i>
      <x v="7"/>
      <x v="6"/>
    </i>
    <i>
      <x v="8"/>
      <x v="3"/>
    </i>
    <i>
      <x v="9"/>
      <x v="5"/>
    </i>
    <i>
      <x v="10"/>
      <x v="4"/>
    </i>
    <i>
      <x v="11"/>
      <x v="10"/>
    </i>
  </rowItems>
  <colFields count="1">
    <field x="-2"/>
  </colFields>
  <colItems count="2">
    <i>
      <x/>
    </i>
    <i i="1">
      <x v="1"/>
    </i>
  </colItems>
  <pageFields count="2">
    <pageField fld="12" hier="-1"/>
    <pageField fld="13" hier="-1"/>
  </pageFields>
  <dataFields count="2">
    <dataField name="Suma de VALOR DEVENGADO" fld="12" baseField="0" baseItem="0"/>
    <dataField name="Suma de VALOR DEDUCCIO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970BDE-867C-4A5B-84A8-553FA253C509}">
  <we:reference id="22ff87a5-132f-4d52-9e97-94d888e4dd91" version="3.1.0.0" store="EXCatalog" storeType="EXCatalog"/>
  <we:alternateReferences>
    <we:reference id="WA104380050" version="3.1.0.0" store="es-CO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2404B-6DDD-4E1B-A2FE-E99C4FF96C11}">
  <sheetPr codeName="Hoja22">
    <tabColor rgb="FF00FFFF"/>
    <pageSetUpPr fitToPage="1"/>
  </sheetPr>
  <dimension ref="A1:Z36"/>
  <sheetViews>
    <sheetView tabSelected="1" view="pageBreakPreview" zoomScale="70" zoomScaleNormal="69" zoomScaleSheetLayoutView="70" workbookViewId="0">
      <selection activeCell="G17" sqref="G17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45740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80</v>
      </c>
      <c r="B6" s="87" t="str">
        <f>VLOOKUP(A6,Dev!$C$1:$D$88,2,FALSE)</f>
        <v>STEFFANY FELICIA CAICEDO ROSADO</v>
      </c>
      <c r="C6" s="88"/>
      <c r="D6" s="89"/>
      <c r="E6" s="84" t="str">
        <f>VLOOKUP(A6,'BD Total'!$A$2:$EZ$18,77,FALSE)</f>
        <v>BECARIA</v>
      </c>
      <c r="F6" s="84"/>
      <c r="G6" s="84"/>
      <c r="H6" s="84"/>
      <c r="I6" s="84" t="str">
        <f>VLOOKUP(A6,'BD Total'!$A$2:$EZ$18,81,FALSE)</f>
        <v>FACILITES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76607245</v>
      </c>
      <c r="B8" s="19" t="str">
        <f>VLOOKUP(A6,'BD Total'!$A$2:$EZ$18,85,FALSE)</f>
        <v>FACILITIES</v>
      </c>
      <c r="C8" s="84" t="str">
        <f>VLOOKUP(A6,$W$1:$Y$20,2,FALSE)</f>
        <v>N/A</v>
      </c>
      <c r="D8" s="84"/>
      <c r="E8" s="85">
        <f>VLOOKUP(A6,'BD Total'!$A$2:$EZ$18,22,FALSE)</f>
        <v>1130</v>
      </c>
      <c r="F8" s="85"/>
      <c r="G8" s="86" t="s">
        <v>43</v>
      </c>
      <c r="H8" s="86"/>
      <c r="I8" s="84" t="str">
        <f>VLOOKUP(A6,$W$1:$Y$20,3,FALSE)</f>
        <v>76607245</v>
      </c>
      <c r="J8" s="84"/>
      <c r="K8" s="84" t="str">
        <f>VLOOKUP(A6,'BD Total'!$A$2:$EZ$18,101,FALSE)</f>
        <v/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29" t="s">
        <v>91</v>
      </c>
      <c r="B12" s="51"/>
      <c r="C12" s="9">
        <f>SUMIF(Dev!$B:$B,CONCATENATE($A$6,A12),Dev!$L:$L)</f>
        <v>216</v>
      </c>
      <c r="D12" s="14">
        <f>SUMIF(Dev!$B:$B,CONCATENATE($A$6,A12),Dev!M:M)</f>
        <v>1017</v>
      </c>
      <c r="E12" s="29"/>
      <c r="F12" s="9"/>
      <c r="G12" s="9"/>
      <c r="H12" s="14"/>
      <c r="I12" s="82" t="s">
        <v>63</v>
      </c>
      <c r="J12" s="83"/>
      <c r="K12" s="8">
        <v>0</v>
      </c>
      <c r="L12" s="33">
        <f>VLOOKUP(A6,ESSALUD!$B$1:$G$19,6,FALSE)</f>
        <v>0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t="s">
        <v>76</v>
      </c>
      <c r="B13" s="9"/>
      <c r="C13" s="9">
        <f>SUMIF(Dev!$B:$B,CONCATENATE($A$6,A13),Dev!$L:$L)</f>
        <v>24</v>
      </c>
      <c r="D13" s="14">
        <f>SUMIF(Dev!$B:$B,CONCATENATE($A$6,A13),Dev!M:M)</f>
        <v>113</v>
      </c>
      <c r="E13" s="29"/>
      <c r="F13" s="9"/>
      <c r="G13" s="9"/>
      <c r="H13" s="14"/>
      <c r="I13" s="75" t="s">
        <v>68</v>
      </c>
      <c r="J13" s="76"/>
      <c r="K13" s="10">
        <v>0</v>
      </c>
      <c r="L13" s="14">
        <f>VLOOKUP(A6,ESSALUD!$B$1:$H$19,7,FALSE)</f>
        <v>0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29"/>
      <c r="B14" s="9"/>
      <c r="C14" s="9"/>
      <c r="D14" s="14"/>
      <c r="E14" s="29"/>
      <c r="F14" s="9"/>
      <c r="G14" s="9"/>
      <c r="H14" s="14"/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29"/>
      <c r="B15" s="9"/>
      <c r="C15" s="9"/>
      <c r="D15" s="14"/>
      <c r="E15" s="29"/>
      <c r="F15" s="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 s="29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0</v>
      </c>
    </row>
    <row r="26" spans="1:25" ht="24.9" customHeight="1">
      <c r="A26" s="72" t="s">
        <v>83</v>
      </c>
      <c r="B26" s="73"/>
      <c r="C26" s="74"/>
      <c r="D26" s="7">
        <f>SUM(D12:D24)</f>
        <v>1130</v>
      </c>
      <c r="E26" s="72" t="s">
        <v>84</v>
      </c>
      <c r="F26" s="73"/>
      <c r="G26" s="74"/>
      <c r="H26" s="7">
        <f>SUM(H12:H24)</f>
        <v>0</v>
      </c>
      <c r="I26" s="72" t="s">
        <v>85</v>
      </c>
      <c r="J26" s="73"/>
      <c r="K26" s="74"/>
      <c r="L26" s="7">
        <f>+D26-H26</f>
        <v>1130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1:K1"/>
    <mergeCell ref="A2:A3"/>
    <mergeCell ref="B2:D3"/>
    <mergeCell ref="B5:D5"/>
    <mergeCell ref="E5:H5"/>
    <mergeCell ref="I5:L5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I14:J14"/>
    <mergeCell ref="C8:D8"/>
    <mergeCell ref="E8:F8"/>
    <mergeCell ref="G8:H8"/>
    <mergeCell ref="I8:J8"/>
    <mergeCell ref="A11:B11"/>
    <mergeCell ref="E11:F11"/>
    <mergeCell ref="I11:J11"/>
    <mergeCell ref="I12:J12"/>
    <mergeCell ref="I13:J13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25:H25"/>
    <mergeCell ref="I25:K25"/>
    <mergeCell ref="A26:C26"/>
    <mergeCell ref="E26:G26"/>
    <mergeCell ref="I26:K26"/>
  </mergeCells>
  <conditionalFormatting sqref="X2:X1048576">
    <cfRule type="duplicateValues" dxfId="35" priority="2"/>
  </conditionalFormatting>
  <conditionalFormatting sqref="Y18:Y1048576 Y2:Y3">
    <cfRule type="duplicateValues" dxfId="34" priority="1"/>
  </conditionalFormatting>
  <dataValidations count="1">
    <dataValidation type="list" allowBlank="1" showInputMessage="1" showErrorMessage="1" sqref="A6" xr:uid="{8F47997E-4822-4680-95C4-6569BA6FAC98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2617-1372-4B1B-9BD2-7E58474F1F77}">
  <sheetPr codeName="Hoja18">
    <tabColor rgb="FF00FFFF"/>
    <pageSetUpPr fitToPage="1"/>
  </sheetPr>
  <dimension ref="A1:Z36"/>
  <sheetViews>
    <sheetView view="pageBreakPreview" topLeftCell="A9" zoomScale="70" zoomScaleNormal="69" zoomScaleSheetLayoutView="70" workbookViewId="0">
      <selection activeCell="A12" sqref="A12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 t="e">
        <f>VLOOKUP(A6,'BD Total'!$A$2:$EZ$17,11,FALSE)</f>
        <v>#N/A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591</v>
      </c>
      <c r="B6" s="87" t="str">
        <f>VLOOKUP(A6,Dev!$C$1:$D$88,2,FALSE)</f>
        <v>JACKELINE TAMARA FAJARDO APOLAYA</v>
      </c>
      <c r="C6" s="88"/>
      <c r="D6" s="89"/>
      <c r="E6" s="84" t="str">
        <f>VLOOKUP(A6,'BD Total'!$A$2:$EZ$18,77,FALSE)</f>
        <v>BECARIA</v>
      </c>
      <c r="F6" s="84"/>
      <c r="G6" s="84"/>
      <c r="H6" s="84"/>
      <c r="I6" s="84" t="str">
        <f>VLOOKUP(A6,'BD Total'!$A$2:$EZ$18,81,FALSE)</f>
        <v>FACILITES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74026184</v>
      </c>
      <c r="B8" s="19" t="str">
        <f>VLOOKUP(A6,'BD Total'!$A$2:$EZ$18,85,FALSE)</f>
        <v>FACILITIES</v>
      </c>
      <c r="C8" s="84" t="str">
        <f>VLOOKUP(A6,$W$1:$Y$20,2,FALSE)</f>
        <v>N/A</v>
      </c>
      <c r="D8" s="84"/>
      <c r="E8" s="85">
        <f>VLOOKUP(A6,'BD Total'!$A$2:$EZ$18,22,FALSE)</f>
        <v>1130</v>
      </c>
      <c r="F8" s="85"/>
      <c r="G8" s="86" t="s">
        <v>43</v>
      </c>
      <c r="H8" s="86"/>
      <c r="I8" s="84" t="str">
        <f>VLOOKUP(A6,$W$1:$Y$20,3,FALSE)</f>
        <v>74026184</v>
      </c>
      <c r="J8" s="84"/>
      <c r="K8" s="84" t="str">
        <f>VLOOKUP(A6,'BD Total'!$A$2:$EZ$18,101,FALSE)</f>
        <v/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29" t="s">
        <v>91</v>
      </c>
      <c r="B12" s="51"/>
      <c r="C12" s="9">
        <f>SUMIF(Dev!$B:$B,CONCATENATE($A$6,A12),Dev!$L:$L)</f>
        <v>160</v>
      </c>
      <c r="D12" s="14">
        <f>SUMIF(Dev!$B:$B,CONCATENATE($A$6,A12),Dev!M:M)</f>
        <v>753.33</v>
      </c>
      <c r="E12" s="29"/>
      <c r="F12" s="9"/>
      <c r="G12" s="9"/>
      <c r="H12" s="14"/>
      <c r="I12" s="82" t="s">
        <v>63</v>
      </c>
      <c r="J12" s="83"/>
      <c r="K12" s="8">
        <v>0</v>
      </c>
      <c r="L12" s="33">
        <f>VLOOKUP(A6,ESSALUD!$B$1:$G$19,6,FALSE)</f>
        <v>0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29"/>
      <c r="B13" s="9"/>
      <c r="C13" s="9"/>
      <c r="D13" s="14"/>
      <c r="E13" s="29"/>
      <c r="F13" s="9"/>
      <c r="G13" s="9"/>
      <c r="H13" s="14"/>
      <c r="I13" s="75" t="s">
        <v>68</v>
      </c>
      <c r="J13" s="76"/>
      <c r="K13" s="10">
        <v>0</v>
      </c>
      <c r="L13" s="14">
        <f>VLOOKUP(A6,ESSALUD!$B$1:$H$19,7,FALSE)</f>
        <v>0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29"/>
      <c r="B14" s="9"/>
      <c r="C14" s="9"/>
      <c r="D14" s="14"/>
      <c r="E14" s="29"/>
      <c r="F14" s="9"/>
      <c r="G14" s="9"/>
      <c r="H14" s="14"/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29"/>
      <c r="B15" s="9"/>
      <c r="C15" s="9"/>
      <c r="D15" s="14"/>
      <c r="E15" s="29"/>
      <c r="F15" s="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 s="29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0</v>
      </c>
    </row>
    <row r="26" spans="1:25" ht="24.9" customHeight="1">
      <c r="A26" s="72" t="s">
        <v>83</v>
      </c>
      <c r="B26" s="73"/>
      <c r="C26" s="74"/>
      <c r="D26" s="7">
        <f>SUM(D12:D24)</f>
        <v>753.33</v>
      </c>
      <c r="E26" s="72" t="s">
        <v>84</v>
      </c>
      <c r="F26" s="73"/>
      <c r="G26" s="74"/>
      <c r="H26" s="7">
        <f>SUM(H12:H24)</f>
        <v>0</v>
      </c>
      <c r="I26" s="72" t="s">
        <v>85</v>
      </c>
      <c r="J26" s="73"/>
      <c r="K26" s="74"/>
      <c r="L26" s="7">
        <f>+D26-H26</f>
        <v>753.33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33" priority="2"/>
  </conditionalFormatting>
  <conditionalFormatting sqref="Y18:Y1048576 Y2:Y3">
    <cfRule type="duplicateValues" dxfId="32" priority="1"/>
  </conditionalFormatting>
  <dataValidations count="1">
    <dataValidation type="list" allowBlank="1" showInputMessage="1" showErrorMessage="1" sqref="A6" xr:uid="{7B154DDB-CEDD-475F-8188-D07684B73FDC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A23D-2BC4-4106-86FE-B4AC9BA3515D}">
  <sheetPr codeName="Hoja15">
    <tabColor rgb="FF92D050"/>
    <pageSetUpPr fitToPage="1"/>
  </sheetPr>
  <dimension ref="A1:Z36"/>
  <sheetViews>
    <sheetView view="pageBreakPreview" zoomScale="70" zoomScaleNormal="69" zoomScaleSheetLayoutView="70" workbookViewId="0">
      <selection activeCell="F12" sqref="F12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45208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77</v>
      </c>
      <c r="B6" s="87" t="str">
        <f>VLOOKUP(A6,Dev!$C$1:$D$88,2,FALSE)</f>
        <v>JACKELINE NANCY MEJIA DOLORES</v>
      </c>
      <c r="C6" s="88"/>
      <c r="D6" s="89"/>
      <c r="E6" s="84" t="str">
        <f>VLOOKUP(A6,'BD Total'!$A$2:$EZ$18,77,FALSE)</f>
        <v>IP PROCUREMENT SPECIALIST</v>
      </c>
      <c r="F6" s="84"/>
      <c r="G6" s="84"/>
      <c r="H6" s="84"/>
      <c r="I6" s="84" t="str">
        <f>VLOOKUP(A6,'BD Total'!$A$2:$EZ$18,81,FALSE)</f>
        <v>TRADEMARKS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72836862</v>
      </c>
      <c r="B8" s="19" t="str">
        <f>VLOOKUP(A6,'BD Total'!$A$2:$EZ$18,85,FALSE)</f>
        <v>663680JMDIO1</v>
      </c>
      <c r="C8" s="84" t="str">
        <f>VLOOKUP(A6,$W$1:$Y$20,2,FALSE)</f>
        <v>663680JMDIO1</v>
      </c>
      <c r="D8" s="84"/>
      <c r="E8" s="85">
        <f>VLOOKUP(A6,'BD Total'!$A$2:$EZ$18,22,FALSE)</f>
        <v>2652</v>
      </c>
      <c r="F8" s="85"/>
      <c r="G8" s="86" t="s">
        <v>43</v>
      </c>
      <c r="H8" s="86"/>
      <c r="I8" s="84" t="str">
        <f>VLOOKUP(A6,$W$1:$Y$20,3,FALSE)</f>
        <v>72836862</v>
      </c>
      <c r="J8" s="84"/>
      <c r="K8" s="84" t="str">
        <f>VLOOKUP(A6,'BD Total'!$A$2:$EZ$18,101,FALSE)</f>
        <v>INTEGRA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65" t="s">
        <v>61</v>
      </c>
      <c r="B12" s="51"/>
      <c r="C12" s="9">
        <f>SUMIF(Dev!$B:$B,CONCATENATE($A$6,A12),Dev!$L:$L)</f>
        <v>168</v>
      </c>
      <c r="D12" s="14">
        <f>SUMIF(Dev!$B:$B,CONCATENATE($A$6,A12),Dev!M:M)</f>
        <v>1856.4</v>
      </c>
      <c r="E12" s="29" t="s">
        <v>88</v>
      </c>
      <c r="F12" s="9"/>
      <c r="G12" s="9">
        <f>SUMIF(Dev!$B:$B,CONCATENATE($A$6,E12),Dev!$L:$L)</f>
        <v>0</v>
      </c>
      <c r="H12" s="14">
        <f>SUMIF(Dev!$B:$B,CONCATENATE($A$6,E12),Dev!N:N)</f>
        <v>265.2</v>
      </c>
      <c r="I12" s="82" t="s">
        <v>63</v>
      </c>
      <c r="J12" s="83"/>
      <c r="K12" s="8">
        <v>0</v>
      </c>
      <c r="L12" s="33">
        <f>VLOOKUP(A6,ESSALUD!$B$1:$G$19,6,FALSE)</f>
        <v>179.01000000000002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29" t="s">
        <v>72</v>
      </c>
      <c r="B13" s="9"/>
      <c r="C13" s="9">
        <f>SUMIF(Dev!$B:$B,CONCATENATE($A$6,A13),Dev!$L:$L)</f>
        <v>0</v>
      </c>
      <c r="D13" s="14">
        <f>SUMIF(Dev!$B:$B,CONCATENATE($A$6,A13),Dev!M:M)</f>
        <v>32</v>
      </c>
      <c r="E13" s="29" t="s">
        <v>89</v>
      </c>
      <c r="F13" s="9"/>
      <c r="G13" s="9">
        <f>SUMIF(Dev!$B:$B,CONCATENATE($A$6,E13),Dev!$L:$L)</f>
        <v>0</v>
      </c>
      <c r="H13" s="14">
        <f>SUMIF(Dev!$B:$B,CONCATENATE($A$6,E13),Dev!N:N)</f>
        <v>36.33</v>
      </c>
      <c r="I13" s="75" t="s">
        <v>68</v>
      </c>
      <c r="J13" s="76"/>
      <c r="K13" s="10">
        <v>0</v>
      </c>
      <c r="L13" s="14">
        <f>VLOOKUP(A6,ESSALUD!$B$1:$H$19,7,FALSE)</f>
        <v>59.669999999999959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29" t="s">
        <v>76</v>
      </c>
      <c r="B14" s="9"/>
      <c r="C14" s="9">
        <f>SUMIF(Dev!$B:$B,CONCATENATE($A$6,A14),Dev!$L:$L)</f>
        <v>72</v>
      </c>
      <c r="D14" s="14">
        <f>SUMIF(Dev!$B:$B,CONCATENATE($A$6,A14),Dev!M:M)</f>
        <v>795.6</v>
      </c>
      <c r="E14" s="29"/>
      <c r="F14" s="9"/>
      <c r="G14" s="9"/>
      <c r="H14" s="14"/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55"/>
      <c r="B15" s="9"/>
      <c r="C15" s="9"/>
      <c r="D15" s="14"/>
      <c r="E15" s="29"/>
      <c r="F15" s="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 s="29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238.67999999999998</v>
      </c>
    </row>
    <row r="26" spans="1:25" ht="24.9" customHeight="1">
      <c r="A26" s="72" t="s">
        <v>83</v>
      </c>
      <c r="B26" s="73"/>
      <c r="C26" s="74"/>
      <c r="D26" s="7">
        <f>SUM(D12:D24)</f>
        <v>2684</v>
      </c>
      <c r="E26" s="72" t="s">
        <v>84</v>
      </c>
      <c r="F26" s="73"/>
      <c r="G26" s="74"/>
      <c r="H26" s="7">
        <f>SUM(H12:H24)</f>
        <v>301.52999999999997</v>
      </c>
      <c r="I26" s="72" t="s">
        <v>85</v>
      </c>
      <c r="J26" s="73"/>
      <c r="K26" s="74"/>
      <c r="L26" s="7">
        <f>+D26-H26</f>
        <v>2382.4700000000003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31" priority="2"/>
  </conditionalFormatting>
  <conditionalFormatting sqref="Y18:Y1048576 Y2:Y3">
    <cfRule type="duplicateValues" dxfId="30" priority="1"/>
  </conditionalFormatting>
  <dataValidations count="1">
    <dataValidation type="list" allowBlank="1" showInputMessage="1" showErrorMessage="1" sqref="A6" xr:uid="{B3049801-6D5D-4B42-8F92-B84C52335B1B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2579-DF3C-48BC-870B-EC25FCD18C3D}">
  <sheetPr codeName="Hoja14">
    <tabColor rgb="FF92D050"/>
    <pageSetUpPr fitToPage="1"/>
  </sheetPr>
  <dimension ref="A1:Z36"/>
  <sheetViews>
    <sheetView view="pageBreakPreview" zoomScale="80" zoomScaleNormal="69" zoomScaleSheetLayoutView="80" workbookViewId="0">
      <selection activeCell="E12" sqref="E12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45637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64</v>
      </c>
      <c r="B6" s="87" t="str">
        <f>VLOOKUP(A6,Dev!$C$1:$D$78,2,FALSE)</f>
        <v>GUILLERMO HENRY HIRAOKA MARINA</v>
      </c>
      <c r="C6" s="88"/>
      <c r="D6" s="89"/>
      <c r="E6" s="84" t="str">
        <f>VLOOKUP(A6,'BD Total'!$A$2:$EZ$18,77,FALSE)</f>
        <v>IP SPECIALIST</v>
      </c>
      <c r="F6" s="84"/>
      <c r="G6" s="84"/>
      <c r="H6" s="84"/>
      <c r="I6" s="84" t="str">
        <f>VLOOKUP(A6,'BD Total'!$A$2:$EZ$18,81,FALSE)</f>
        <v>TRADEMARKS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42683912</v>
      </c>
      <c r="B8" s="19" t="str">
        <f>VLOOKUP(A6,'BD Total'!$A$2:$EZ$18,85,FALSE)</f>
        <v>309631GHMAI4</v>
      </c>
      <c r="C8" s="84" t="str">
        <f>VLOOKUP(A6,$W$1:$Y$20,2,FALSE)</f>
        <v>309631GHMAI4</v>
      </c>
      <c r="D8" s="84"/>
      <c r="E8" s="85">
        <f>VLOOKUP(A6,'BD Total'!$A$2:$EZ$18,22,FALSE)</f>
        <v>5768</v>
      </c>
      <c r="F8" s="85"/>
      <c r="G8" s="86" t="s">
        <v>43</v>
      </c>
      <c r="H8" s="86"/>
      <c r="I8" s="84" t="str">
        <f>VLOOKUP(A6,$W$1:$Y$20,3,FALSE)</f>
        <v>42683912</v>
      </c>
      <c r="J8" s="84"/>
      <c r="K8" s="84" t="str">
        <f>VLOOKUP(A6,'BD Total'!$A$2:$EZ$18,101,FALSE)</f>
        <v>HABITAT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29" t="s">
        <v>61</v>
      </c>
      <c r="B12" s="51"/>
      <c r="C12" s="9">
        <f>SUMIF(Dev!$B:$B,CONCATENATE($A$6,A12),Dev!$L:$L)</f>
        <v>240</v>
      </c>
      <c r="D12" s="14">
        <f>SUMIF(Dev!$B:$B,CONCATENATE($A$6,A12),Dev!M:M)</f>
        <v>5768</v>
      </c>
      <c r="E12" s="29" t="s">
        <v>88</v>
      </c>
      <c r="F12" s="9"/>
      <c r="G12" s="9">
        <f>SUMIF(Dev!$B:$B,CONCATENATE($A$6,E12),Dev!$L:$L)</f>
        <v>0</v>
      </c>
      <c r="H12" s="14">
        <f>SUMIF(Dev!$B:$B,CONCATENATE($A$6,E12),Dev!N:N)</f>
        <v>576.79999999999995</v>
      </c>
      <c r="I12" s="82" t="s">
        <v>63</v>
      </c>
      <c r="J12" s="83"/>
      <c r="K12" s="8">
        <v>0</v>
      </c>
      <c r="L12" s="33">
        <f>VLOOKUP(A6,ESSALUD!$B$1:$G$19,6,FALSE)</f>
        <v>389.34000000000003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29" t="s">
        <v>72</v>
      </c>
      <c r="B13" s="9"/>
      <c r="C13" s="9">
        <f>SUMIF(Dev!$B:$B,CONCATENATE($A$6,A13),Dev!$L:$L)</f>
        <v>0</v>
      </c>
      <c r="D13" s="14">
        <f>SUMIF(Dev!$B:$B,CONCATENATE($A$6,A13),Dev!M:M)</f>
        <v>48</v>
      </c>
      <c r="E13" s="29" t="s">
        <v>89</v>
      </c>
      <c r="F13" s="9"/>
      <c r="G13" s="9">
        <f>SUMIF(Dev!$B:$B,CONCATENATE($A$6,E13),Dev!$L:$L)</f>
        <v>0</v>
      </c>
      <c r="H13" s="14">
        <f>SUMIF(Dev!$B:$B,CONCATENATE($A$6,E13),Dev!N:N)</f>
        <v>79.02</v>
      </c>
      <c r="I13" s="75" t="s">
        <v>68</v>
      </c>
      <c r="J13" s="76"/>
      <c r="K13" s="10">
        <v>0</v>
      </c>
      <c r="L13" s="14">
        <f>VLOOKUP(A6,ESSALUD!$B$1:$H$19,7,FALSE)</f>
        <v>129.77999999999997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29"/>
      <c r="B14" s="9"/>
      <c r="C14" s="9"/>
      <c r="D14" s="14"/>
      <c r="E14" s="29" t="s">
        <v>62</v>
      </c>
      <c r="F14" s="9"/>
      <c r="G14" s="9">
        <f>SUMIF(Dev!$B:$B,CONCATENATE($A$6,E14),Dev!$L:$L)</f>
        <v>0</v>
      </c>
      <c r="H14" s="14">
        <f>SUMIF(Dev!$B:$B,CONCATENATE($A$6,E14),Dev!N:N)</f>
        <v>368.65</v>
      </c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55"/>
      <c r="B15" s="9"/>
      <c r="C15" s="9"/>
      <c r="D15" s="14"/>
      <c r="F15" s="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519.12</v>
      </c>
    </row>
    <row r="26" spans="1:25" ht="24.9" customHeight="1">
      <c r="A26" s="72" t="s">
        <v>83</v>
      </c>
      <c r="B26" s="73"/>
      <c r="C26" s="74"/>
      <c r="D26" s="7">
        <f>SUM(D12:D24)</f>
        <v>5816</v>
      </c>
      <c r="E26" s="72" t="s">
        <v>84</v>
      </c>
      <c r="F26" s="73"/>
      <c r="G26" s="74"/>
      <c r="H26" s="7">
        <f>SUM(H12:H24)</f>
        <v>1024.4699999999998</v>
      </c>
      <c r="I26" s="72" t="s">
        <v>85</v>
      </c>
      <c r="J26" s="73"/>
      <c r="K26" s="74"/>
      <c r="L26" s="7">
        <f>+D26-H26</f>
        <v>4791.5300000000007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29" priority="2"/>
  </conditionalFormatting>
  <conditionalFormatting sqref="Y18:Y1048576 Y2:Y3">
    <cfRule type="duplicateValues" dxfId="28" priority="1"/>
  </conditionalFormatting>
  <dataValidations count="1">
    <dataValidation type="list" allowBlank="1" showInputMessage="1" showErrorMessage="1" sqref="A6" xr:uid="{D760C251-F8AB-4797-9101-083F15787DCC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D68E-8582-4A6D-941E-06D9BA770475}">
  <sheetPr codeName="Hoja13">
    <tabColor rgb="FF92D050"/>
    <pageSetUpPr fitToPage="1"/>
  </sheetPr>
  <dimension ref="A1:Z36"/>
  <sheetViews>
    <sheetView view="pageBreakPreview" zoomScale="80" zoomScaleNormal="69" zoomScaleSheetLayoutView="80" workbookViewId="0">
      <selection activeCell="A6" sqref="A6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45740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81</v>
      </c>
      <c r="B6" s="87" t="str">
        <f>VLOOKUP(A6,Dev!$C$1:$D$78,2,FALSE)</f>
        <v>SARA MILAGROS SOTO LLOCLLA</v>
      </c>
      <c r="C6" s="88"/>
      <c r="D6" s="89"/>
      <c r="E6" s="84" t="str">
        <f>VLOOKUP(A6,'BD Total'!$A$2:$EZ$18,77,FALSE)</f>
        <v xml:space="preserve"> IP PROSECUTION SPECIALIST </v>
      </c>
      <c r="F6" s="84"/>
      <c r="G6" s="84"/>
      <c r="H6" s="84"/>
      <c r="I6" s="84" t="str">
        <f>VLOOKUP(A6,'BD Total'!$A$2:$EZ$18,81,FALSE)</f>
        <v>CENTRAL SERVICES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42115329</v>
      </c>
      <c r="B8" s="19" t="str">
        <f>VLOOKUP(A6,'BD Total'!$A$2:$EZ$18,85,FALSE)</f>
        <v>FACILITIES</v>
      </c>
      <c r="C8" s="84" t="str">
        <f>VLOOKUP(A6,$W$1:$Y$20,2,FALSE)</f>
        <v>FACILITIES</v>
      </c>
      <c r="D8" s="84"/>
      <c r="E8" s="85">
        <f>VLOOKUP(A6,'BD Total'!$A$2:$EZ$18,22,FALSE)</f>
        <v>3090</v>
      </c>
      <c r="F8" s="85"/>
      <c r="G8" s="86" t="s">
        <v>43</v>
      </c>
      <c r="H8" s="86"/>
      <c r="I8" s="84" t="str">
        <f>VLOOKUP(A6,$W$1:$Y$20,3,FALSE)</f>
        <v>42115329</v>
      </c>
      <c r="J8" s="84"/>
      <c r="K8" s="84" t="str">
        <f>VLOOKUP(A6,'BD Total'!$A$2:$EZ$18,101,FALSE)</f>
        <v>INTEGRA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29" t="s">
        <v>61</v>
      </c>
      <c r="B12" s="51"/>
      <c r="C12" s="9">
        <f>SUMIF(Dev!$B:$B,CONCATENATE($A$6,A12),Dev!$L:$L)</f>
        <v>240</v>
      </c>
      <c r="D12" s="14">
        <f>SUMIF(Dev!$B:$B,CONCATENATE($A$6,A12),Dev!M:M)</f>
        <v>3090</v>
      </c>
      <c r="E12" s="29" t="s">
        <v>88</v>
      </c>
      <c r="F12" s="9"/>
      <c r="G12" s="9">
        <f>SUMIF(Dev!$B:$B,CONCATENATE($A$6,E12),Dev!$L:$L)</f>
        <v>0</v>
      </c>
      <c r="H12" s="14">
        <f>SUMIF(Dev!$B:$B,CONCATENATE($A$6,E12),Dev!N:N)</f>
        <v>309</v>
      </c>
      <c r="I12" s="82" t="s">
        <v>63</v>
      </c>
      <c r="J12" s="83"/>
      <c r="K12" s="8">
        <v>0</v>
      </c>
      <c r="L12" s="33">
        <f>VLOOKUP(A6,ESSALUD!$B$1:$G$19,6,FALSE)</f>
        <v>208.57500000000002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29" t="s">
        <v>72</v>
      </c>
      <c r="B13" s="9"/>
      <c r="C13" s="9">
        <f>SUMIF(Dev!$B:$B,CONCATENATE($A$6,A13),Dev!$L:$L)</f>
        <v>0</v>
      </c>
      <c r="D13" s="14">
        <f>SUMIF(Dev!$B:$B,CONCATENATE($A$6,A13),Dev!M:M)</f>
        <v>36</v>
      </c>
      <c r="E13" s="29" t="s">
        <v>89</v>
      </c>
      <c r="F13" s="9"/>
      <c r="G13" s="9">
        <f>SUMIF(Dev!$B:$B,CONCATENATE($A$6,E13),Dev!$L:$L)</f>
        <v>0</v>
      </c>
      <c r="H13" s="14">
        <f>SUMIF(Dev!$B:$B,CONCATENATE($A$6,E13),Dev!N:N)</f>
        <v>42.33</v>
      </c>
      <c r="I13" s="75" t="s">
        <v>68</v>
      </c>
      <c r="J13" s="76"/>
      <c r="K13" s="10">
        <v>0</v>
      </c>
      <c r="L13" s="14">
        <f>VLOOKUP(A6,ESSALUD!$B$1:$H$19,7,FALSE)</f>
        <v>69.524999999999949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29"/>
      <c r="B14" s="9"/>
      <c r="C14" s="9"/>
      <c r="D14" s="14"/>
      <c r="E14" s="29" t="s">
        <v>90</v>
      </c>
      <c r="F14" s="9"/>
      <c r="G14" s="9">
        <f>SUMIF(Dev!$B:$B,CONCATENATE($A$6,E14),Dev!$L:$L)</f>
        <v>0</v>
      </c>
      <c r="H14" s="14">
        <f>SUMIF(Dev!$B:$B,CONCATENATE($A$6,E14),Dev!N:N)</f>
        <v>47.9</v>
      </c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55"/>
      <c r="B15" s="9"/>
      <c r="C15" s="9"/>
      <c r="D15" s="14"/>
      <c r="E15" s="29" t="s">
        <v>62</v>
      </c>
      <c r="F15" s="9"/>
      <c r="G15" s="9">
        <f>SUMIF(Dev!$B:$B,CONCATENATE($A$6,E15),Dev!$L:$L)</f>
        <v>0</v>
      </c>
      <c r="H15" s="14">
        <f>SUMIF(Dev!$B:$B,CONCATENATE($A$6,E15),Dev!N:N)</f>
        <v>36.25</v>
      </c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 s="29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278.09999999999997</v>
      </c>
    </row>
    <row r="26" spans="1:25" ht="24.9" customHeight="1">
      <c r="A26" s="72" t="s">
        <v>83</v>
      </c>
      <c r="B26" s="73"/>
      <c r="C26" s="74"/>
      <c r="D26" s="7">
        <f>SUM(D12:D24)</f>
        <v>3126</v>
      </c>
      <c r="E26" s="72" t="s">
        <v>84</v>
      </c>
      <c r="F26" s="73"/>
      <c r="G26" s="74"/>
      <c r="H26" s="7">
        <f>SUM(H12:H24)</f>
        <v>435.47999999999996</v>
      </c>
      <c r="I26" s="72" t="s">
        <v>85</v>
      </c>
      <c r="J26" s="73"/>
      <c r="K26" s="74"/>
      <c r="L26" s="7">
        <f>+D26-H26</f>
        <v>2690.52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27" priority="2"/>
  </conditionalFormatting>
  <conditionalFormatting sqref="Y18:Y1048576 Y2:Y3">
    <cfRule type="duplicateValues" dxfId="26" priority="1"/>
  </conditionalFormatting>
  <dataValidations count="1">
    <dataValidation type="list" allowBlank="1" showInputMessage="1" showErrorMessage="1" sqref="A6" xr:uid="{5EE8E749-4946-491D-9E63-C8572F669CEC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07A2-C098-48A0-B425-C7F719023725}">
  <sheetPr codeName="Hoja12">
    <tabColor rgb="FF92D050"/>
    <pageSetUpPr fitToPage="1"/>
  </sheetPr>
  <dimension ref="A1:Z36"/>
  <sheetViews>
    <sheetView view="pageBreakPreview" topLeftCell="A7" zoomScale="80" zoomScaleNormal="69" zoomScaleSheetLayoutView="80" workbookViewId="0">
      <selection activeCell="A6" sqref="A6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42438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73</v>
      </c>
      <c r="B6" s="87" t="str">
        <f>VLOOKUP(A6,Dev!$C$1:$D$78,2,FALSE)</f>
        <v>JOSE NORBERT MARQUIS XXX</v>
      </c>
      <c r="C6" s="88"/>
      <c r="D6" s="89"/>
      <c r="E6" s="84" t="str">
        <f>VLOOKUP(A6,'BD Total'!$A$2:$EZ$18,77,FALSE)</f>
        <v>IP SPECIALIST</v>
      </c>
      <c r="F6" s="84"/>
      <c r="G6" s="84"/>
      <c r="H6" s="84"/>
      <c r="I6" s="84" t="str">
        <f>VLOOKUP(A6,'BD Total'!$A$2:$EZ$18,81,FALSE)</f>
        <v>INVENTIONS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001252358</v>
      </c>
      <c r="B8" s="19" t="str">
        <f>VLOOKUP(A6,'BD Total'!$A$2:$EZ$18,85,FALSE)</f>
        <v>627991JMXQX0</v>
      </c>
      <c r="C8" s="84" t="str">
        <f>VLOOKUP(A6,$W$1:$Y$20,2,FALSE)</f>
        <v>627991JMXQX0</v>
      </c>
      <c r="D8" s="84"/>
      <c r="E8" s="85">
        <f>VLOOKUP(A6,'BD Total'!$A$2:$EZ$18,22,FALSE)</f>
        <v>6644</v>
      </c>
      <c r="F8" s="85"/>
      <c r="G8" s="86" t="s">
        <v>43</v>
      </c>
      <c r="H8" s="86"/>
      <c r="I8" s="84" t="str">
        <f>VLOOKUP(A6,$W$1:$Y$20,3,FALSE)</f>
        <v>001252358</v>
      </c>
      <c r="J8" s="84"/>
      <c r="K8" s="84" t="str">
        <f>VLOOKUP(A6,'BD Total'!$A$2:$EZ$18,101,FALSE)</f>
        <v>HABITAT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29" t="s">
        <v>61</v>
      </c>
      <c r="B12" s="51"/>
      <c r="C12" s="9">
        <f>SUMIF(Dev!$B:$B,CONCATENATE($A$6,A12),Dev!$L:$L)</f>
        <v>240</v>
      </c>
      <c r="D12" s="14">
        <f>SUMIF(Dev!$B:$B,CONCATENATE($A$6,A12),Dev!M:M)</f>
        <v>6644</v>
      </c>
      <c r="E12" s="29" t="s">
        <v>88</v>
      </c>
      <c r="F12" s="9"/>
      <c r="G12" s="9">
        <f>SUMIF(Dev!$B:$B,CONCATENATE($A$6,E12),Dev!$L:$L)</f>
        <v>0</v>
      </c>
      <c r="H12" s="14">
        <f>SUMIF(Dev!$B:$B,CONCATENATE($A$6,E12),Dev!N:N)</f>
        <v>664.4</v>
      </c>
      <c r="I12" s="82" t="s">
        <v>63</v>
      </c>
      <c r="J12" s="83"/>
      <c r="K12" s="8">
        <v>0</v>
      </c>
      <c r="L12" s="33">
        <f>VLOOKUP(A6,ESSALUD!$B$1:$G$19,6,FALSE)</f>
        <v>448.47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29" t="s">
        <v>72</v>
      </c>
      <c r="B13" s="9"/>
      <c r="C13" s="9">
        <f>SUMIF(Dev!$B:$B,CONCATENATE($A$6,A13),Dev!$L:$L)</f>
        <v>0</v>
      </c>
      <c r="D13" s="14">
        <f>SUMIF(Dev!$B:$B,CONCATENATE($A$6,A13),Dev!M:M)</f>
        <v>48</v>
      </c>
      <c r="E13" s="29" t="s">
        <v>89</v>
      </c>
      <c r="F13" s="9"/>
      <c r="G13" s="9">
        <f>SUMIF(Dev!$B:$B,CONCATENATE($A$6,E13),Dev!$L:$L)</f>
        <v>0</v>
      </c>
      <c r="H13" s="14">
        <f>SUMIF(Dev!$B:$B,CONCATENATE($A$6,E13),Dev!N:N)</f>
        <v>91.02</v>
      </c>
      <c r="I13" s="75" t="s">
        <v>68</v>
      </c>
      <c r="J13" s="76"/>
      <c r="K13" s="10">
        <v>0</v>
      </c>
      <c r="L13" s="14">
        <f>VLOOKUP(A6,ESSALUD!$B$1:$H$19,7,FALSE)</f>
        <v>149.4899999999999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29"/>
      <c r="B14" s="9"/>
      <c r="C14" s="9"/>
      <c r="D14" s="14"/>
      <c r="E14" s="29" t="s">
        <v>62</v>
      </c>
      <c r="F14" s="9"/>
      <c r="G14" s="9">
        <f>SUMIF(Dev!$B:$B,CONCATENATE($A$6,#REF!),Dev!$L:$L)</f>
        <v>0</v>
      </c>
      <c r="H14" s="14">
        <f>SUMIF(Dev!$B:$B,CONCATENATE($A$6,E14),Dev!N:N)</f>
        <v>513.58000000000004</v>
      </c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29"/>
      <c r="B15" s="9"/>
      <c r="C15" s="9"/>
      <c r="D15" s="14"/>
      <c r="F15" s="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597.95999999999992</v>
      </c>
    </row>
    <row r="26" spans="1:25" ht="24.9" customHeight="1">
      <c r="A26" s="72" t="s">
        <v>83</v>
      </c>
      <c r="B26" s="73"/>
      <c r="C26" s="74"/>
      <c r="D26" s="7">
        <f>SUM(D12:D24)</f>
        <v>6692</v>
      </c>
      <c r="E26" s="72" t="s">
        <v>84</v>
      </c>
      <c r="F26" s="73"/>
      <c r="G26" s="74"/>
      <c r="H26" s="7">
        <f>SUM(H12:H24)</f>
        <v>1269</v>
      </c>
      <c r="I26" s="72" t="s">
        <v>85</v>
      </c>
      <c r="J26" s="73"/>
      <c r="K26" s="74"/>
      <c r="L26" s="7">
        <f>+D26-H26</f>
        <v>5423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25" priority="2"/>
  </conditionalFormatting>
  <conditionalFormatting sqref="Y18:Y1048576 Y2:Y3">
    <cfRule type="duplicateValues" dxfId="24" priority="1"/>
  </conditionalFormatting>
  <dataValidations count="1">
    <dataValidation type="list" allowBlank="1" showInputMessage="1" showErrorMessage="1" sqref="A6" xr:uid="{B6935F77-6B18-4F7A-A9C3-F75A4C7D9082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BF01-C664-43C8-A372-735756E38712}">
  <sheetPr codeName="Hoja11">
    <tabColor rgb="FF92D050"/>
    <pageSetUpPr fitToPage="1"/>
  </sheetPr>
  <dimension ref="A1:Z36"/>
  <sheetViews>
    <sheetView view="pageBreakPreview" zoomScale="80" zoomScaleNormal="69" zoomScaleSheetLayoutView="80" workbookViewId="0">
      <selection activeCell="B5" sqref="B5:D5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45323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69</v>
      </c>
      <c r="B6" s="87" t="str">
        <f>VLOOKUP(A6,Dev!$C$1:$D$78,2,FALSE)</f>
        <v>ZULEMA BELINDA CADILLO BRITO</v>
      </c>
      <c r="C6" s="88"/>
      <c r="D6" s="89"/>
      <c r="E6" s="84" t="str">
        <f>VLOOKUP(A6,'BD Total'!$A$2:$EZ$18,77,FALSE)</f>
        <v xml:space="preserve"> IP PROSECUTION SPECIALIST </v>
      </c>
      <c r="F6" s="84"/>
      <c r="G6" s="84"/>
      <c r="H6" s="84"/>
      <c r="I6" s="84" t="str">
        <f>VLOOKUP(A6,'BD Total'!$A$2:$EZ$18,81,FALSE)</f>
        <v>CENTRAL SERVICES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77485287</v>
      </c>
      <c r="B8" s="19" t="str">
        <f>VLOOKUP(A6,'BD Total'!$A$2:$EZ$18,85,FALSE)</f>
        <v>655610ZCBIT4</v>
      </c>
      <c r="C8" s="84" t="str">
        <f>VLOOKUP(A6,$W$1:$Y$20,2,FALSE)</f>
        <v>655610ZCBIT4</v>
      </c>
      <c r="D8" s="84"/>
      <c r="E8" s="85">
        <f>VLOOKUP(A6,'BD Total'!$A$2:$EZ$18,22,FALSE)</f>
        <v>2142</v>
      </c>
      <c r="F8" s="85"/>
      <c r="G8" s="86" t="s">
        <v>43</v>
      </c>
      <c r="H8" s="86"/>
      <c r="I8" s="84" t="str">
        <f>VLOOKUP(A6,$W$1:$Y$20,3,FALSE)</f>
        <v>77485287</v>
      </c>
      <c r="J8" s="84"/>
      <c r="K8" s="84" t="str">
        <f>VLOOKUP(A6,'BD Total'!$A$2:$EZ$18,101,FALSE)</f>
        <v>PRIMA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65" t="s">
        <v>61</v>
      </c>
      <c r="B12" s="51"/>
      <c r="C12" s="9">
        <f>SUMIF(Dev!$B:$B,CONCATENATE($A$6,A12),Dev!$L:$L)</f>
        <v>240</v>
      </c>
      <c r="D12" s="14">
        <f>SUMIF(Dev!$B:$B,CONCATENATE($A$6,A12),Dev!M:M)</f>
        <v>2142</v>
      </c>
      <c r="E12" s="29" t="s">
        <v>88</v>
      </c>
      <c r="F12" s="9"/>
      <c r="G12" s="9">
        <f>SUMIF(Dev!$B:$B,CONCATENATE($A$6,E12),Dev!$L:$L)</f>
        <v>0</v>
      </c>
      <c r="H12" s="14">
        <f>SUMIF(Dev!$B:$B,CONCATENATE($A$6,E12),Dev!N:N)</f>
        <v>214.2</v>
      </c>
      <c r="I12" s="82" t="s">
        <v>63</v>
      </c>
      <c r="J12" s="83"/>
      <c r="K12" s="8">
        <v>0</v>
      </c>
      <c r="L12" s="33">
        <f>VLOOKUP(A6,ESSALUD!$B$1:$G$19,6,FALSE)</f>
        <v>144.58500000000001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29" t="s">
        <v>72</v>
      </c>
      <c r="B13" s="9"/>
      <c r="C13" s="9">
        <f>SUMIF(Dev!$B:$B,CONCATENATE($A$6,A13),Dev!$L:$L)</f>
        <v>0</v>
      </c>
      <c r="D13" s="14">
        <f>SUMIF(Dev!$B:$B,CONCATENATE($A$6,A13),Dev!M:M)</f>
        <v>48</v>
      </c>
      <c r="E13" s="29" t="s">
        <v>89</v>
      </c>
      <c r="F13" s="9"/>
      <c r="G13" s="9">
        <f>SUMIF(Dev!$B:$B,CONCATENATE($A$6,E13),Dev!$L:$L)</f>
        <v>0</v>
      </c>
      <c r="H13" s="14">
        <f>SUMIF(Dev!$B:$B,CONCATENATE($A$6,E13),Dev!N:N)</f>
        <v>29.35</v>
      </c>
      <c r="I13" s="75" t="s">
        <v>68</v>
      </c>
      <c r="J13" s="76"/>
      <c r="K13" s="10">
        <v>0</v>
      </c>
      <c r="L13" s="14">
        <f>VLOOKUP(A6,ESSALUD!$B$1:$H$19,7,FALSE)</f>
        <v>48.194999999999993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29"/>
      <c r="B14" s="9"/>
      <c r="C14" s="9"/>
      <c r="D14" s="14"/>
      <c r="E14" s="29"/>
      <c r="F14" s="9"/>
      <c r="G14" s="9"/>
      <c r="H14" s="14"/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55"/>
      <c r="B15" s="9"/>
      <c r="C15" s="9"/>
      <c r="D15" s="14"/>
      <c r="E15" s="29"/>
      <c r="F15" s="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 s="29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192.78</v>
      </c>
    </row>
    <row r="26" spans="1:25" ht="24.9" customHeight="1">
      <c r="A26" s="72" t="s">
        <v>83</v>
      </c>
      <c r="B26" s="73"/>
      <c r="C26" s="74"/>
      <c r="D26" s="7">
        <f>SUM(D12:D24)</f>
        <v>2190</v>
      </c>
      <c r="E26" s="72" t="s">
        <v>84</v>
      </c>
      <c r="F26" s="73"/>
      <c r="G26" s="74"/>
      <c r="H26" s="7">
        <f>SUM(H12:H24)</f>
        <v>243.54999999999998</v>
      </c>
      <c r="I26" s="72" t="s">
        <v>85</v>
      </c>
      <c r="J26" s="73"/>
      <c r="K26" s="74"/>
      <c r="L26" s="7">
        <f>+D26-H26</f>
        <v>1946.45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23" priority="2"/>
  </conditionalFormatting>
  <conditionalFormatting sqref="Y18:Y1048576 Y2:Y3">
    <cfRule type="duplicateValues" dxfId="22" priority="1"/>
  </conditionalFormatting>
  <dataValidations count="1">
    <dataValidation type="list" allowBlank="1" showInputMessage="1" showErrorMessage="1" sqref="A6" xr:uid="{D7DC1B57-6E9E-43E9-A74D-8E94EEF2962B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9D6D8-E1A2-48FA-9B21-D166247F3E4A}">
  <sheetPr codeName="Hoja10">
    <tabColor rgb="FF92D050"/>
    <pageSetUpPr fitToPage="1"/>
  </sheetPr>
  <dimension ref="A1:Z36"/>
  <sheetViews>
    <sheetView view="pageBreakPreview" topLeftCell="A4" zoomScale="80" zoomScaleNormal="69" zoomScaleSheetLayoutView="80" workbookViewId="0">
      <selection activeCell="E17" sqref="E17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43241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58</v>
      </c>
      <c r="B6" s="87" t="str">
        <f>VLOOKUP(A6,Dev!$C$1:$D$78,2,FALSE)</f>
        <v>CYNTHIA FIORELLA HUAMAN TORRES</v>
      </c>
      <c r="C6" s="88"/>
      <c r="D6" s="89"/>
      <c r="E6" s="84" t="str">
        <f>VLOOKUP(A6,'BD Total'!$A$2:$EZ$18,77,FALSE)</f>
        <v xml:space="preserve"> PATENT SPECIALIST </v>
      </c>
      <c r="F6" s="84"/>
      <c r="G6" s="84"/>
      <c r="H6" s="84"/>
      <c r="I6" s="84" t="str">
        <f>VLOOKUP(A6,'BD Total'!$A$2:$EZ$18,81,FALSE)</f>
        <v>INVENTIONS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72251509</v>
      </c>
      <c r="B8" s="19" t="str">
        <f>VLOOKUP(A6,'BD Total'!$A$2:$EZ$18,85,FALSE)</f>
        <v>631390CHTMR2</v>
      </c>
      <c r="C8" s="84" t="str">
        <f>VLOOKUP(A6,$W$1:$Y$20,2,FALSE)</f>
        <v>631390CHTMR2</v>
      </c>
      <c r="D8" s="84"/>
      <c r="E8" s="85">
        <f>VLOOKUP(A6,'BD Total'!$A$2:$EZ$18,22,FALSE)</f>
        <v>4631</v>
      </c>
      <c r="F8" s="85"/>
      <c r="G8" s="86" t="s">
        <v>43</v>
      </c>
      <c r="H8" s="86"/>
      <c r="I8" s="84" t="str">
        <f>VLOOKUP(A6,$W$1:$Y$20,3,FALSE)</f>
        <v>72251509</v>
      </c>
      <c r="J8" s="84"/>
      <c r="K8" s="84" t="str">
        <f>VLOOKUP(A6,'BD Total'!$A$2:$EZ$18,101,FALSE)</f>
        <v>HABITAT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29" t="s">
        <v>61</v>
      </c>
      <c r="B12" s="51"/>
      <c r="C12" s="9">
        <f>SUMIF(Dev!$B:$B,CONCATENATE($A$6,A12),Dev!$L:$L)</f>
        <v>168</v>
      </c>
      <c r="D12" s="14">
        <f>SUMIF(Dev!$B:$B,CONCATENATE($A$6,A12),Dev!M:M)</f>
        <v>3241.7</v>
      </c>
      <c r="E12" s="29" t="s">
        <v>88</v>
      </c>
      <c r="F12" s="9"/>
      <c r="G12" s="9">
        <f>SUMIF(Dev!$B:$B,CONCATENATE($A$6,E12),Dev!$L:$L)</f>
        <v>0</v>
      </c>
      <c r="H12" s="14">
        <f>SUMIF(Dev!$B:$B,CONCATENATE($A$6,E12),Dev!N:N)</f>
        <v>474.4</v>
      </c>
      <c r="I12" s="82" t="s">
        <v>63</v>
      </c>
      <c r="J12" s="83"/>
      <c r="K12" s="8">
        <v>0</v>
      </c>
      <c r="L12" s="33">
        <f>VLOOKUP(A6,ESSALUD!$B$1:$G$19,6,FALSE)</f>
        <v>426.96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29" t="s">
        <v>72</v>
      </c>
      <c r="B13" s="9"/>
      <c r="C13" s="9">
        <f>SUMIF(Dev!$B:$B,CONCATENATE($A$6,A13),Dev!$L:$L)</f>
        <v>0</v>
      </c>
      <c r="D13" s="14">
        <f>SUMIF(Dev!$B:$B,CONCATENATE($A$6,A13),Dev!M:M)</f>
        <v>32</v>
      </c>
      <c r="E13" s="29" t="s">
        <v>89</v>
      </c>
      <c r="F13" s="9"/>
      <c r="G13" s="9">
        <f>SUMIF(Dev!$B:$B,CONCATENATE($A$6,E13),Dev!$L:$L)</f>
        <v>0</v>
      </c>
      <c r="H13" s="14">
        <f>SUMIF(Dev!$B:$B,CONCATENATE($A$6,E13),Dev!N:N)</f>
        <v>64.989999999999995</v>
      </c>
      <c r="I13" s="75"/>
      <c r="J13" s="76"/>
      <c r="K13" s="10"/>
      <c r="L13" s="14"/>
      <c r="W13" s="44" t="s">
        <v>73</v>
      </c>
      <c r="X13" s="44" t="s">
        <v>542</v>
      </c>
      <c r="Y13" s="44" t="s">
        <v>75</v>
      </c>
    </row>
    <row r="14" spans="1:26" ht="24.9" customHeight="1">
      <c r="A14" s="29" t="s">
        <v>76</v>
      </c>
      <c r="B14" s="9"/>
      <c r="C14" s="9">
        <f>SUMIF(Dev!$B:$B,CONCATENATE($A$6,A14),Dev!$L:$L)</f>
        <v>72</v>
      </c>
      <c r="D14" s="14">
        <f>SUMIF(Dev!$B:$B,CONCATENATE($A$6,A14),Dev!M:M)</f>
        <v>1389.3</v>
      </c>
      <c r="E14" s="29" t="s">
        <v>62</v>
      </c>
      <c r="F14" s="9"/>
      <c r="G14" s="9">
        <f>SUMIF(Dev!$B:$B,CONCATENATE($A$6,#REF!),Dev!$L:$L)</f>
        <v>0</v>
      </c>
      <c r="H14" s="14">
        <f>SUMIF(Dev!$B:$B,CONCATENATE($A$6,E14),Dev!N:N)</f>
        <v>197.7</v>
      </c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55" t="s">
        <v>66</v>
      </c>
      <c r="B15" s="9"/>
      <c r="C15" s="9">
        <f>SUMIF(Dev!$B:$B,CONCATENATE($A$6,A15),Dev!$L:$L)</f>
        <v>0</v>
      </c>
      <c r="D15" s="14">
        <f>SUMIF(Dev!$B:$B,CONCATENATE($A$6,A15),Dev!M:M)</f>
        <v>113</v>
      </c>
      <c r="F15" s="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426.96</v>
      </c>
    </row>
    <row r="26" spans="1:25" ht="24.9" customHeight="1">
      <c r="A26" s="72" t="s">
        <v>83</v>
      </c>
      <c r="B26" s="73"/>
      <c r="C26" s="74"/>
      <c r="D26" s="7">
        <f>SUM(D12:D24)</f>
        <v>4776</v>
      </c>
      <c r="E26" s="72" t="s">
        <v>84</v>
      </c>
      <c r="F26" s="73"/>
      <c r="G26" s="74"/>
      <c r="H26" s="7">
        <f>SUM(H12:H24)</f>
        <v>737.08999999999992</v>
      </c>
      <c r="I26" s="72" t="s">
        <v>85</v>
      </c>
      <c r="J26" s="73"/>
      <c r="K26" s="74"/>
      <c r="L26" s="7">
        <f>+D26-H26</f>
        <v>4038.91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21" priority="2"/>
  </conditionalFormatting>
  <conditionalFormatting sqref="Y18:Y1048576 Y2:Y3">
    <cfRule type="duplicateValues" dxfId="20" priority="1"/>
  </conditionalFormatting>
  <dataValidations count="1">
    <dataValidation type="list" allowBlank="1" showInputMessage="1" showErrorMessage="1" sqref="A6" xr:uid="{825BACF0-3611-4A5F-8DBB-85CEAF28B617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B6D4-870B-423E-83C5-D242B9064A38}">
  <sheetPr codeName="Hoja9">
    <tabColor rgb="FF92D050"/>
    <pageSetUpPr fitToPage="1"/>
  </sheetPr>
  <dimension ref="A1:Z36"/>
  <sheetViews>
    <sheetView view="pageBreakPreview" topLeftCell="A4" zoomScale="80" zoomScaleNormal="69" zoomScaleSheetLayoutView="80" workbookViewId="0">
      <selection activeCell="B6" sqref="B6:D6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44879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53</v>
      </c>
      <c r="B6" s="87" t="str">
        <f>VLOOKUP(A6,Dev!$C$1:$D$78,2,FALSE)</f>
        <v>LIZ VALERIA SOLANO CARRILLO</v>
      </c>
      <c r="C6" s="88"/>
      <c r="D6" s="89"/>
      <c r="E6" s="84" t="str">
        <f>VLOOKUP(A6,'BD Total'!$A$2:$EZ$18,77,FALSE)</f>
        <v>IP SPECIALIST</v>
      </c>
      <c r="F6" s="84"/>
      <c r="G6" s="84"/>
      <c r="H6" s="84"/>
      <c r="I6" s="84" t="str">
        <f>VLOOKUP(A6,'BD Total'!$A$2:$EZ$18,81,FALSE)</f>
        <v>TRADEMARKS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70680748</v>
      </c>
      <c r="B8" s="19">
        <f>VLOOKUP(A6,'BD Total'!$A$2:$EZ$18,85,FALSE)</f>
        <v>0</v>
      </c>
      <c r="C8" s="84">
        <f>VLOOKUP(A6,$W$1:$Y$20,2,FALSE)</f>
        <v>0</v>
      </c>
      <c r="D8" s="84"/>
      <c r="E8" s="85">
        <f>VLOOKUP(A6,'BD Total'!$A$2:$EZ$18,22,FALSE)</f>
        <v>6125</v>
      </c>
      <c r="F8" s="85"/>
      <c r="G8" s="86" t="s">
        <v>43</v>
      </c>
      <c r="H8" s="86"/>
      <c r="I8" s="84" t="str">
        <f>VLOOKUP(A6,$W$1:$Y$20,3,FALSE)</f>
        <v>70680748</v>
      </c>
      <c r="J8" s="84"/>
      <c r="K8" s="84" t="str">
        <f>VLOOKUP(A6,'BD Total'!$A$2:$EZ$18,101,FALSE)</f>
        <v>ONP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65" t="s">
        <v>61</v>
      </c>
      <c r="B12" s="51"/>
      <c r="C12" s="9">
        <f>SUMIF(Dev!$B:$B,CONCATENATE($A$6,A12),Dev!$L:$L)</f>
        <v>152</v>
      </c>
      <c r="D12" s="14">
        <f>SUMIF(Dev!$B:$B,CONCATENATE($A$6,A12),Dev!M:M)</f>
        <v>3879.17</v>
      </c>
      <c r="E12" s="29" t="s">
        <v>605</v>
      </c>
      <c r="F12" s="9"/>
      <c r="G12" s="9">
        <f>SUMIF(Dev!$B:$B,CONCATENATE($A$6,E12),Dev!$L:$L)</f>
        <v>0</v>
      </c>
      <c r="H12" s="14">
        <f>SUMIF(Dev!$B:$B,CONCATENATE($A$6,E12),Dev!N:N)</f>
        <v>810.94</v>
      </c>
      <c r="I12" s="82" t="s">
        <v>63</v>
      </c>
      <c r="J12" s="83"/>
      <c r="K12" s="8">
        <v>0</v>
      </c>
      <c r="L12" s="33">
        <f>VLOOKUP(A6,ESSALUD!$B$1:$G$19,6,FALSE)</f>
        <v>421.06500000000005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29" t="s">
        <v>66</v>
      </c>
      <c r="B13" s="9"/>
      <c r="C13" s="9">
        <f>SUMIF(Dev!$B:$B,CONCATENATE($A$6,A13),Dev!$L:$L)</f>
        <v>0</v>
      </c>
      <c r="D13" s="14">
        <f>SUMIF(Dev!$B:$B,CONCATENATE($A$6,A13),Dev!M:M)</f>
        <v>113</v>
      </c>
      <c r="E13" s="29" t="s">
        <v>62</v>
      </c>
      <c r="F13" s="9"/>
      <c r="G13" s="9">
        <f>SUMIF(Dev!$B:$B,CONCATENATE($A$6,#REF!),Dev!$L:$L)</f>
        <v>0</v>
      </c>
      <c r="H13" s="14">
        <f>SUMIF(Dev!$B:$B,CONCATENATE($A$6,E13),Dev!N:N)</f>
        <v>440.35</v>
      </c>
      <c r="I13" s="75" t="s">
        <v>68</v>
      </c>
      <c r="J13" s="76"/>
      <c r="K13" s="10">
        <v>0</v>
      </c>
      <c r="L13" s="14">
        <f>VLOOKUP(A6,ESSALUD!$B$1:$H$19,7,FALSE)</f>
        <v>140.3549999999999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29" t="s">
        <v>76</v>
      </c>
      <c r="B14" s="9"/>
      <c r="C14" s="9">
        <f>SUMIF(Dev!$B:$B,CONCATENATE($A$6,A14),Dev!$L:$L)</f>
        <v>88</v>
      </c>
      <c r="D14" s="14">
        <f>SUMIF(Dev!$B:$B,CONCATENATE($A$6,A14),Dev!M:M)</f>
        <v>2245.83</v>
      </c>
      <c r="E14" s="29"/>
      <c r="F14" s="9"/>
      <c r="G14" s="9"/>
      <c r="H14" s="14"/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29"/>
      <c r="B15" s="9"/>
      <c r="C15" s="9"/>
      <c r="D15" s="14"/>
      <c r="F15" s="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561.41999999999996</v>
      </c>
    </row>
    <row r="26" spans="1:25" ht="24.9" customHeight="1">
      <c r="A26" s="72" t="s">
        <v>83</v>
      </c>
      <c r="B26" s="73"/>
      <c r="C26" s="74"/>
      <c r="D26" s="7">
        <f>SUM(D12:D24)</f>
        <v>6238</v>
      </c>
      <c r="E26" s="72" t="s">
        <v>84</v>
      </c>
      <c r="F26" s="73"/>
      <c r="G26" s="74"/>
      <c r="H26" s="7">
        <f>SUM(H12:H24)</f>
        <v>1251.29</v>
      </c>
      <c r="I26" s="72" t="s">
        <v>85</v>
      </c>
      <c r="J26" s="73"/>
      <c r="K26" s="74"/>
      <c r="L26" s="7">
        <f>+D26-H26</f>
        <v>4986.71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19" priority="2"/>
  </conditionalFormatting>
  <conditionalFormatting sqref="Y18:Y1048576 Y2:Y3">
    <cfRule type="duplicateValues" dxfId="18" priority="1"/>
  </conditionalFormatting>
  <dataValidations count="1">
    <dataValidation type="list" allowBlank="1" showInputMessage="1" showErrorMessage="1" sqref="A6" xr:uid="{F7AB74F3-4A6B-427F-BEB4-3477DAD862E1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556D-5426-488E-8E50-D866750527DD}">
  <sheetPr codeName="Hoja8">
    <tabColor rgb="FF92D050"/>
    <pageSetUpPr fitToPage="1"/>
  </sheetPr>
  <dimension ref="A1:Z36"/>
  <sheetViews>
    <sheetView view="pageBreakPreview" topLeftCell="A4" zoomScale="80" zoomScaleNormal="69" zoomScaleSheetLayoutView="80" workbookViewId="0">
      <selection activeCell="E9" sqref="E9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44623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47</v>
      </c>
      <c r="B6" s="87" t="str">
        <f>VLOOKUP(A6,Dev!$C$1:$D$78,2,FALSE)</f>
        <v>VICTOR DANIEL FERNANDEZ CASTILLO</v>
      </c>
      <c r="C6" s="88"/>
      <c r="D6" s="89"/>
      <c r="E6" s="84" t="str">
        <f>VLOOKUP(A6,'BD Total'!$A$2:$EZ$18,77,FALSE)</f>
        <v xml:space="preserve"> PATENT SPECIALIST </v>
      </c>
      <c r="F6" s="84"/>
      <c r="G6" s="84"/>
      <c r="H6" s="84"/>
      <c r="I6" s="84" t="str">
        <f>VLOOKUP(A6,'BD Total'!$A$2:$EZ$18,81,FALSE)</f>
        <v>INVENTIONS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70165336</v>
      </c>
      <c r="B8" s="19" t="str">
        <f>VLOOKUP(A6,'BD Total'!$A$2:$EZ$18,85,FALSE)</f>
        <v>640621VFCNT9</v>
      </c>
      <c r="C8" s="84" t="str">
        <f>VLOOKUP(A6,$W$1:$Y$20,2,FALSE)</f>
        <v>640621VFCNT9</v>
      </c>
      <c r="D8" s="84"/>
      <c r="E8" s="85">
        <f>VLOOKUP(A6,'BD Total'!$A$2:$EZ$18,22,FALSE)</f>
        <v>4099</v>
      </c>
      <c r="F8" s="85"/>
      <c r="G8" s="86" t="s">
        <v>43</v>
      </c>
      <c r="H8" s="86"/>
      <c r="I8" s="84" t="str">
        <f>VLOOKUP(A6,$W$1:$Y$20,3,FALSE)</f>
        <v>70165336</v>
      </c>
      <c r="J8" s="84"/>
      <c r="K8" s="84" t="str">
        <f>VLOOKUP(A6,'BD Total'!$A$2:$EZ$18,101,FALSE)</f>
        <v>HABITAT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8" t="s">
        <v>61</v>
      </c>
      <c r="B12" s="51"/>
      <c r="C12" s="9">
        <f>SUMIF(Dev!$B:$B,CONCATENATE($A$6,A12),Dev!$L:$L)</f>
        <v>184</v>
      </c>
      <c r="D12" s="14">
        <f>SUMIF(Dev!$B:$B,CONCATENATE($A$6,A12),Dev!M:M)</f>
        <v>3142.57</v>
      </c>
      <c r="E12" s="9" t="s">
        <v>88</v>
      </c>
      <c r="F12" s="9"/>
      <c r="G12" s="9">
        <f>SUMIF(Dev!$B:$B,CONCATENATE($A$6,E12),Dev!$L:$L)</f>
        <v>0</v>
      </c>
      <c r="H12" s="14">
        <f>SUMIF(Dev!$B:$B,CONCATENATE($A$6,E12),Dev!N:N)</f>
        <v>409.9</v>
      </c>
      <c r="I12" s="82" t="s">
        <v>63</v>
      </c>
      <c r="J12" s="83"/>
      <c r="K12" s="8">
        <v>0</v>
      </c>
      <c r="L12" s="33">
        <f>VLOOKUP(A6,ESSALUD!$B$1:$G$19,6,FALSE)</f>
        <v>276.6825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10" t="s">
        <v>72</v>
      </c>
      <c r="B13" s="9"/>
      <c r="C13" s="9">
        <f>SUMIF(Dev!$B:$B,CONCATENATE($A$6,A13),Dev!$L:$L)</f>
        <v>0</v>
      </c>
      <c r="D13" s="14">
        <f>SUMIF(Dev!$B:$B,CONCATENATE($A$6,A13),Dev!M:M)</f>
        <v>36</v>
      </c>
      <c r="E13" s="9" t="s">
        <v>89</v>
      </c>
      <c r="F13" s="9"/>
      <c r="G13" s="9">
        <f>SUMIF(Dev!$B:$B,CONCATENATE($A$6,E13),Dev!$L:$L)</f>
        <v>0</v>
      </c>
      <c r="H13" s="14">
        <f>SUMIF(Dev!$B:$B,CONCATENATE($A$6,E13),Dev!N:N)</f>
        <v>56.16</v>
      </c>
      <c r="I13" s="75" t="s">
        <v>68</v>
      </c>
      <c r="J13" s="76"/>
      <c r="K13" s="10">
        <v>0</v>
      </c>
      <c r="L13" s="14">
        <f>VLOOKUP(A6,ESSALUD!$B$1:$H$19,7,FALSE)</f>
        <v>92.227499999999964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10" t="s">
        <v>76</v>
      </c>
      <c r="B14" s="9"/>
      <c r="C14" s="9">
        <f>SUMIF(Dev!$B:$B,CONCATENATE($A$6,A14),Dev!$L:$L)</f>
        <v>56</v>
      </c>
      <c r="D14" s="14">
        <f>SUMIF(Dev!$B:$B,CONCATENATE($A$6,A14),Dev!M:M)</f>
        <v>956.43</v>
      </c>
      <c r="E14" s="9" t="s">
        <v>62</v>
      </c>
      <c r="F14" s="9"/>
      <c r="G14" s="9">
        <f>SUMIF(Dev!$B:$B,CONCATENATE($A$6,#REF!),Dev!$L:$L)</f>
        <v>0</v>
      </c>
      <c r="H14" s="14">
        <f>SUMIF(Dev!$B:$B,CONCATENATE($A$6,E14),Dev!N:N)</f>
        <v>131.63</v>
      </c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55"/>
      <c r="B15" s="9"/>
      <c r="C15" s="9"/>
      <c r="D15" s="14"/>
      <c r="E15" s="29"/>
      <c r="F15" s="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69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 s="29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368.90999999999997</v>
      </c>
    </row>
    <row r="26" spans="1:25" ht="24.9" customHeight="1">
      <c r="A26" s="72" t="s">
        <v>83</v>
      </c>
      <c r="B26" s="73"/>
      <c r="C26" s="74"/>
      <c r="D26" s="7">
        <f>SUM(D12:D24)</f>
        <v>4135</v>
      </c>
      <c r="E26" s="72" t="s">
        <v>84</v>
      </c>
      <c r="F26" s="73"/>
      <c r="G26" s="74"/>
      <c r="H26" s="7">
        <f>SUM(H12:H24)</f>
        <v>597.68999999999994</v>
      </c>
      <c r="I26" s="72" t="s">
        <v>85</v>
      </c>
      <c r="J26" s="73"/>
      <c r="K26" s="74"/>
      <c r="L26" s="7">
        <f>+D26-H26</f>
        <v>3537.31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17" priority="2"/>
  </conditionalFormatting>
  <conditionalFormatting sqref="Y18:Y1048576 Y2:Y3">
    <cfRule type="duplicateValues" dxfId="16" priority="1"/>
  </conditionalFormatting>
  <dataValidations count="1">
    <dataValidation type="list" allowBlank="1" showInputMessage="1" showErrorMessage="1" sqref="A6" xr:uid="{A70636B9-F531-42ED-89B1-1CE3E8379E8E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1012-E8E5-46E4-9406-64715B5BA723}">
  <sheetPr codeName="Hoja7">
    <tabColor rgb="FF92D050"/>
    <pageSetUpPr fitToPage="1"/>
  </sheetPr>
  <dimension ref="A1:Z36"/>
  <sheetViews>
    <sheetView view="pageBreakPreview" zoomScale="70" zoomScaleNormal="69" zoomScaleSheetLayoutView="70" workbookViewId="0">
      <selection activeCell="I8" sqref="I8:J8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42632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44</v>
      </c>
      <c r="B6" s="87" t="str">
        <f>VLOOKUP(A6,Dev!$C$1:$D$78,2,FALSE)</f>
        <v>MARÍA DEL CARMEN NEYRA ELLIOT</v>
      </c>
      <c r="C6" s="88"/>
      <c r="D6" s="89"/>
      <c r="E6" s="84" t="str">
        <f>VLOOKUP(A6,'BD Total'!$A$2:$EZ$18,77,FALSE)</f>
        <v>QUALITY PROCESS MANAGER</v>
      </c>
      <c r="F6" s="84"/>
      <c r="G6" s="84"/>
      <c r="H6" s="84"/>
      <c r="I6" s="84" t="str">
        <f>VLOOKUP(A6,'BD Total'!$A$2:$EZ$18,81,FALSE)</f>
        <v>OPERATIONS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47924040</v>
      </c>
      <c r="B8" s="19" t="str">
        <f>VLOOKUP(A6,'BD Total'!$A$2:$EZ$18,85,FALSE)</f>
        <v>641640MNERI3</v>
      </c>
      <c r="C8" s="84" t="str">
        <f>VLOOKUP(A6,$W$1:$Y$20,2,FALSE)</f>
        <v>641640MNERI3</v>
      </c>
      <c r="D8" s="84"/>
      <c r="E8" s="85">
        <f>VLOOKUP(A6,'BD Total'!$A$2:$EZ$18,22,FALSE)</f>
        <v>6552</v>
      </c>
      <c r="F8" s="85"/>
      <c r="G8" s="86" t="s">
        <v>43</v>
      </c>
      <c r="H8" s="86"/>
      <c r="I8" s="84" t="str">
        <f>VLOOKUP(A6,$W$1:$Y$20,3,FALSE)</f>
        <v>47924040</v>
      </c>
      <c r="J8" s="84"/>
      <c r="K8" s="84" t="str">
        <f>VLOOKUP(A6,'BD Total'!$A$2:$EZ$18,101,FALSE)</f>
        <v>HABITAT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8" t="s">
        <v>61</v>
      </c>
      <c r="B12" s="51"/>
      <c r="C12" s="9">
        <f>SUMIF(Dev!$B:$B,CONCATENATE($A$6,A12),Dev!$L:$L)</f>
        <v>144</v>
      </c>
      <c r="D12" s="14">
        <f>SUMIF(Dev!$B:$B,CONCATENATE($A$6,A12),Dev!M:M)</f>
        <v>3931.2</v>
      </c>
      <c r="E12" s="9" t="s">
        <v>88</v>
      </c>
      <c r="F12" s="9"/>
      <c r="G12" s="9">
        <f>SUMIF(Dev!$B:$B,CONCATENATE($A$6,E12),Dev!$L:$L)</f>
        <v>0</v>
      </c>
      <c r="H12" s="14">
        <f>SUMIF(Dev!$B:$B,CONCATENATE($A$6,E12),Dev!N:N)</f>
        <v>655.20000000000005</v>
      </c>
      <c r="I12" s="82" t="s">
        <v>63</v>
      </c>
      <c r="J12" s="83"/>
      <c r="K12" s="8">
        <v>0</v>
      </c>
      <c r="L12" s="33">
        <f>VLOOKUP(A6,ESSALUD!$B$1:$G$19,6,FALSE)</f>
        <v>442.26000000000005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10" t="s">
        <v>72</v>
      </c>
      <c r="B13" s="9"/>
      <c r="C13" s="9">
        <f>SUMIF(Dev!$B:$B,CONCATENATE($A$6,A13),Dev!$L:$L)</f>
        <v>0</v>
      </c>
      <c r="D13" s="14">
        <f>SUMIF(Dev!$B:$B,CONCATENATE($A$6,A13),Dev!M:M)</f>
        <v>36</v>
      </c>
      <c r="E13" s="9" t="s">
        <v>89</v>
      </c>
      <c r="F13" s="9"/>
      <c r="G13" s="9">
        <f>SUMIF(Dev!$B:$B,CONCATENATE($A$6,E13),Dev!$L:$L)</f>
        <v>0</v>
      </c>
      <c r="H13" s="14">
        <f>SUMIF(Dev!$B:$B,CONCATENATE($A$6,E13),Dev!N:N)</f>
        <v>89.76</v>
      </c>
      <c r="I13" s="75" t="s">
        <v>68</v>
      </c>
      <c r="J13" s="76"/>
      <c r="K13" s="10">
        <v>0</v>
      </c>
      <c r="L13" s="14">
        <f>VLOOKUP(A6,ESSALUD!$B$1:$H$19,7,FALSE)</f>
        <v>147.4199999999999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10" t="s">
        <v>76</v>
      </c>
      <c r="B14" s="9"/>
      <c r="C14" s="9">
        <f>SUMIF(Dev!$B:$B,CONCATENATE($A$6,A14),Dev!$L:$L)</f>
        <v>96</v>
      </c>
      <c r="D14" s="14">
        <f>SUMIF(Dev!$B:$B,CONCATENATE($A$6,A14),Dev!M:M)</f>
        <v>2620.8000000000002</v>
      </c>
      <c r="E14" s="9" t="s">
        <v>62</v>
      </c>
      <c r="F14" s="9"/>
      <c r="G14" s="9">
        <f>SUMIF(Dev!$B:$B,CONCATENATE($A$6,#REF!),Dev!$L:$L)</f>
        <v>0</v>
      </c>
      <c r="H14" s="14">
        <f>SUMIF(Dev!$B:$B,CONCATENATE($A$6,E14),Dev!N:N)</f>
        <v>501.01</v>
      </c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55"/>
      <c r="B15" s="9"/>
      <c r="C15" s="9"/>
      <c r="D15" s="14"/>
      <c r="F15" s="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69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589.67999999999995</v>
      </c>
    </row>
    <row r="26" spans="1:25" ht="24.9" customHeight="1">
      <c r="A26" s="72" t="s">
        <v>83</v>
      </c>
      <c r="B26" s="73"/>
      <c r="C26" s="74"/>
      <c r="D26" s="7">
        <f>SUM(D12:D24)</f>
        <v>6588</v>
      </c>
      <c r="E26" s="72" t="s">
        <v>84</v>
      </c>
      <c r="F26" s="73"/>
      <c r="G26" s="74"/>
      <c r="H26" s="7">
        <f>SUM(H12:H24)</f>
        <v>1245.97</v>
      </c>
      <c r="I26" s="72" t="s">
        <v>85</v>
      </c>
      <c r="J26" s="73"/>
      <c r="K26" s="74"/>
      <c r="L26" s="7">
        <f>+D26-H26</f>
        <v>5342.03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15" priority="2"/>
  </conditionalFormatting>
  <conditionalFormatting sqref="Y18:Y1048576 Y2:Y3">
    <cfRule type="duplicateValues" dxfId="14" priority="1"/>
  </conditionalFormatting>
  <dataValidations count="1">
    <dataValidation type="list" allowBlank="1" showInputMessage="1" showErrorMessage="1" sqref="A6" xr:uid="{73261ED2-9C7B-4CA4-83E1-4FCFDC709DF1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7A5B-C4AD-483F-8A5A-D0A56D435E27}">
  <sheetPr codeName="Hoja6">
    <tabColor rgb="FF92D050"/>
    <pageSetUpPr fitToPage="1"/>
  </sheetPr>
  <dimension ref="A1:Z36"/>
  <sheetViews>
    <sheetView view="pageBreakPreview" zoomScale="70" zoomScaleNormal="69" zoomScaleSheetLayoutView="70" workbookViewId="0">
      <selection activeCell="H15" sqref="H15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44151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40</v>
      </c>
      <c r="B6" s="87" t="str">
        <f>VLOOKUP(A6,Dev!$C$1:$D$78,2,FALSE)</f>
        <v>FELIX ALEJANDRO KOO RIOJA</v>
      </c>
      <c r="C6" s="88"/>
      <c r="D6" s="89"/>
      <c r="E6" s="84" t="str">
        <f>VLOOKUP(A6,'BD Total'!$A$2:$EZ$18,77,FALSE)</f>
        <v>FINANCE &amp; ACCOUNTING SPECIALIST</v>
      </c>
      <c r="F6" s="84"/>
      <c r="G6" s="84"/>
      <c r="H6" s="84"/>
      <c r="I6" s="84" t="str">
        <f>VLOOKUP(A6,'BD Total'!$A$2:$EZ$18,81,FALSE)</f>
        <v>FINANZAS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46722547</v>
      </c>
      <c r="B8" s="19" t="str">
        <f>VLOOKUP(A6,'BD Total'!$A$2:$EZ$18,85,FALSE)</f>
        <v>632311FKROJ0</v>
      </c>
      <c r="C8" s="84" t="str">
        <f>VLOOKUP(A6,$W$1:$Y$20,2,FALSE)</f>
        <v>632311FKROJ0</v>
      </c>
      <c r="D8" s="84"/>
      <c r="E8" s="85">
        <f>VLOOKUP(A6,'BD Total'!$A$2:$EZ$18,22,FALSE)</f>
        <v>5733</v>
      </c>
      <c r="F8" s="85"/>
      <c r="G8" s="86" t="s">
        <v>43</v>
      </c>
      <c r="H8" s="86"/>
      <c r="I8" s="84" t="str">
        <f>VLOOKUP(A6,$W$1:$Y$20,3,FALSE)</f>
        <v>46722547</v>
      </c>
      <c r="J8" s="84"/>
      <c r="K8" s="84" t="str">
        <f>VLOOKUP(A6,'BD Total'!$A$2:$EZ$18,101,FALSE)</f>
        <v>INTEGRA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8" t="s">
        <v>61</v>
      </c>
      <c r="B12" s="51"/>
      <c r="C12" s="9">
        <f>SUMIF(Dev!$B:$B,CONCATENATE($A$6,A12),Dev!$L:$L)</f>
        <v>128</v>
      </c>
      <c r="D12" s="14">
        <f>SUMIF(Dev!$B:$B,CONCATENATE($A$6,A12),Dev!M:M)</f>
        <v>3057.6</v>
      </c>
      <c r="E12" s="29" t="s">
        <v>88</v>
      </c>
      <c r="F12" s="9"/>
      <c r="G12" s="9">
        <f>SUMIF(Dev!$B:$B,CONCATENATE($A$6,E12),Dev!$L:$L)</f>
        <v>0</v>
      </c>
      <c r="H12" s="14">
        <f>SUMIF(Dev!$B:$B,CONCATENATE($A$6,E12),Dev!N:N)</f>
        <v>573.29999999999995</v>
      </c>
      <c r="I12" s="82" t="s">
        <v>63</v>
      </c>
      <c r="J12" s="83"/>
      <c r="K12" s="8">
        <v>0</v>
      </c>
      <c r="L12" s="33">
        <f>VLOOKUP(A6,ESSALUD!$B$1:$G$19,6,FALSE)</f>
        <v>386.97750000000002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10" t="s">
        <v>76</v>
      </c>
      <c r="B13" s="9"/>
      <c r="C13" s="9">
        <f>SUMIF(Dev!$B:$B,CONCATENATE($A$6,A13),Dev!$L:$L)</f>
        <v>112</v>
      </c>
      <c r="D13" s="14">
        <f>SUMIF(Dev!$B:$B,CONCATENATE($A$6,A13),Dev!M:M)</f>
        <v>2675.4</v>
      </c>
      <c r="E13" s="29" t="s">
        <v>89</v>
      </c>
      <c r="F13" s="9"/>
      <c r="G13" s="9">
        <f>SUMIF(Dev!$B:$B,CONCATENATE($A$6,E13),Dev!$L:$L)</f>
        <v>0</v>
      </c>
      <c r="H13" s="14">
        <f>SUMIF(Dev!$B:$B,CONCATENATE($A$6,E13),Dev!N:N)</f>
        <v>78.540000000000006</v>
      </c>
      <c r="I13" s="75" t="s">
        <v>68</v>
      </c>
      <c r="J13" s="76"/>
      <c r="K13" s="10">
        <v>0</v>
      </c>
      <c r="L13" s="14">
        <f>VLOOKUP(A6,ESSALUD!$B$1:$H$19,7,FALSE)</f>
        <v>128.99250000000001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60"/>
      <c r="B14" s="9"/>
      <c r="C14" s="9"/>
      <c r="D14" s="14"/>
      <c r="E14" s="29" t="s">
        <v>62</v>
      </c>
      <c r="F14" s="9"/>
      <c r="G14" s="9">
        <f>SUMIF(Dev!$B:$B,CONCATENATE($A$6,#REF!),Dev!$L:$L)</f>
        <v>0</v>
      </c>
      <c r="H14" s="14">
        <f>SUMIF(Dev!$B:$B,CONCATENATE($A$6,E14),Dev!N:N)</f>
        <v>363.08</v>
      </c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55"/>
      <c r="B15" s="9"/>
      <c r="C15" s="9"/>
      <c r="D15" s="14"/>
      <c r="F15" s="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 s="29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515.97</v>
      </c>
    </row>
    <row r="26" spans="1:25" ht="24.9" customHeight="1">
      <c r="A26" s="72" t="s">
        <v>83</v>
      </c>
      <c r="B26" s="73"/>
      <c r="C26" s="74"/>
      <c r="D26" s="7">
        <f>SUM(D12:D24)</f>
        <v>5733</v>
      </c>
      <c r="E26" s="72" t="s">
        <v>84</v>
      </c>
      <c r="F26" s="73"/>
      <c r="G26" s="74"/>
      <c r="H26" s="7">
        <f>SUM(H12:H24)</f>
        <v>1014.9199999999998</v>
      </c>
      <c r="I26" s="72" t="s">
        <v>85</v>
      </c>
      <c r="J26" s="73"/>
      <c r="K26" s="74"/>
      <c r="L26" s="7">
        <f>+D26-H26</f>
        <v>4718.08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13" priority="2"/>
  </conditionalFormatting>
  <conditionalFormatting sqref="Y18:Y1048576 Y2:Y3">
    <cfRule type="duplicateValues" dxfId="12" priority="1"/>
  </conditionalFormatting>
  <dataValidations count="1">
    <dataValidation type="list" allowBlank="1" showInputMessage="1" showErrorMessage="1" sqref="A6" xr:uid="{AA118FE8-390F-4BAC-8A72-BC05633CA6BF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24CF-1012-4A10-B0AD-82358D9ED6FB}">
  <sheetPr codeName="Hoja5">
    <tabColor rgb="FF92D050"/>
    <pageSetUpPr fitToPage="1"/>
  </sheetPr>
  <dimension ref="A1:Z36"/>
  <sheetViews>
    <sheetView view="pageBreakPreview" topLeftCell="A7" zoomScale="80" zoomScaleNormal="69" zoomScaleSheetLayoutView="80" workbookViewId="0">
      <selection activeCell="B16" sqref="B16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42765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32</v>
      </c>
      <c r="B6" s="87" t="str">
        <f>VLOOKUP(A6,Dev!$C$1:$D$78,2,FALSE)</f>
        <v>LAURA CAROLINA LIRA CANDIA</v>
      </c>
      <c r="C6" s="88"/>
      <c r="D6" s="89"/>
      <c r="E6" s="84" t="str">
        <f>VLOOKUP(A6,'BD Total'!$A$2:$EZ$18,77,FALSE)</f>
        <v xml:space="preserve"> IP PROSECUTION SPECIALIST </v>
      </c>
      <c r="F6" s="84"/>
      <c r="G6" s="84"/>
      <c r="H6" s="84"/>
      <c r="I6" s="84" t="str">
        <f>VLOOKUP(A6,'BD Total'!$A$2:$EZ$18,81,FALSE)</f>
        <v>CENTRAL SERVICES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46129072</v>
      </c>
      <c r="B8" s="19" t="str">
        <f>VLOOKUP(A6,'BD Total'!$A$2:$EZ$18,85,FALSE)</f>
        <v>628890LLCAD9</v>
      </c>
      <c r="C8" s="84" t="str">
        <f>VLOOKUP(A6,$W$1:$Y$20,2,FALSE)</f>
        <v>628890LLCAD9</v>
      </c>
      <c r="D8" s="84"/>
      <c r="E8" s="85">
        <f>VLOOKUP(A6,'BD Total'!$A$2:$EZ$18,22,FALSE)</f>
        <v>3871</v>
      </c>
      <c r="F8" s="85"/>
      <c r="G8" s="86" t="s">
        <v>43</v>
      </c>
      <c r="H8" s="86"/>
      <c r="I8" s="84" t="str">
        <f>VLOOKUP(A6,$W$1:$Y$20,3,FALSE)</f>
        <v>46129072</v>
      </c>
      <c r="J8" s="84"/>
      <c r="K8" s="84" t="str">
        <f>VLOOKUP(A6,'BD Total'!$A$2:$EZ$18,101,FALSE)</f>
        <v>HABITAT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8" t="s">
        <v>61</v>
      </c>
      <c r="B12" s="51"/>
      <c r="C12" s="9">
        <f>SUMIF(Dev!$B:$B,CONCATENATE($A$6,A12),Dev!$L:$L)</f>
        <v>184</v>
      </c>
      <c r="D12" s="14">
        <f>SUMIF(Dev!$B:$B,CONCATENATE($A$6,A12),Dev!M:M)</f>
        <v>2967.77</v>
      </c>
      <c r="E12" s="29" t="s">
        <v>88</v>
      </c>
      <c r="F12" s="9"/>
      <c r="G12" s="9">
        <f>SUMIF(Dev!$B:$B,CONCATENATE($A$6,E12),Dev!$L:$L)</f>
        <v>0</v>
      </c>
      <c r="H12" s="14">
        <f>SUMIF(Dev!$B:$B,CONCATENATE($A$6,E12),Dev!N:N)</f>
        <v>387.1</v>
      </c>
      <c r="I12" s="82" t="s">
        <v>63</v>
      </c>
      <c r="J12" s="83"/>
      <c r="K12" s="8">
        <v>0</v>
      </c>
      <c r="L12" s="33">
        <f>VLOOKUP(A6,ESSALUD!$B$1:$G$19,6,FALSE)</f>
        <v>261.29250000000002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10" t="s">
        <v>72</v>
      </c>
      <c r="B13" s="9"/>
      <c r="C13" s="9">
        <f>SUMIF(Dev!$B:$B,CONCATENATE($A$6,A13),Dev!$L:$L)</f>
        <v>0</v>
      </c>
      <c r="D13" s="14">
        <f>SUMIF(Dev!$B:$B,CONCATENATE($A$6,A13),Dev!M:M)</f>
        <v>36</v>
      </c>
      <c r="E13" s="29" t="s">
        <v>89</v>
      </c>
      <c r="F13" s="9"/>
      <c r="G13" s="9">
        <f>SUMIF(Dev!$B:$B,CONCATENATE($A$6,E13),Dev!$L:$L)</f>
        <v>0</v>
      </c>
      <c r="H13" s="14">
        <f>SUMIF(Dev!$B:$B,CONCATENATE($A$6,E13),Dev!N:N)</f>
        <v>53.03</v>
      </c>
      <c r="I13" s="75" t="s">
        <v>68</v>
      </c>
      <c r="J13" s="76"/>
      <c r="K13" s="10">
        <v>0</v>
      </c>
      <c r="L13" s="14">
        <f>VLOOKUP(A6,ESSALUD!$B$1:$H$19,7,FALSE)</f>
        <v>87.097499999999968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10" t="s">
        <v>76</v>
      </c>
      <c r="B14" s="9"/>
      <c r="C14" s="9">
        <f>SUMIF(Dev!$B:$B,CONCATENATE($A$6,A14),Dev!$L:$L)</f>
        <v>56</v>
      </c>
      <c r="D14" s="14">
        <f>SUMIF(Dev!$B:$B,CONCATENATE($A$6,A14),Dev!M:M)</f>
        <v>903.23</v>
      </c>
      <c r="E14" t="s">
        <v>62</v>
      </c>
      <c r="F14" s="9"/>
      <c r="G14" s="9">
        <f>SUMIF(Dev!$B:$B,CONCATENATE($A$6,#REF!),Dev!$L:$L)</f>
        <v>0</v>
      </c>
      <c r="H14" s="14">
        <f>SUMIF(Dev!$B:$B,CONCATENATE($A$6,E14),Dev!N:N)</f>
        <v>109.98</v>
      </c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55"/>
      <c r="B15" s="9"/>
      <c r="C15" s="9"/>
      <c r="D15" s="14"/>
      <c r="F15" s="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 s="29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348.39</v>
      </c>
    </row>
    <row r="26" spans="1:25" ht="24.9" customHeight="1">
      <c r="A26" s="72" t="s">
        <v>83</v>
      </c>
      <c r="B26" s="73"/>
      <c r="C26" s="74"/>
      <c r="D26" s="7">
        <f>SUM(D12:D24)</f>
        <v>3907</v>
      </c>
      <c r="E26" s="72" t="s">
        <v>84</v>
      </c>
      <c r="F26" s="73"/>
      <c r="G26" s="74"/>
      <c r="H26" s="7">
        <f>SUM(H12:H24)</f>
        <v>550.11</v>
      </c>
      <c r="I26" s="72" t="s">
        <v>85</v>
      </c>
      <c r="J26" s="73"/>
      <c r="K26" s="74"/>
      <c r="L26" s="7">
        <f>+D26-H26</f>
        <v>3356.89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11" priority="2"/>
  </conditionalFormatting>
  <conditionalFormatting sqref="Y18:Y1048576 Y2:Y3">
    <cfRule type="duplicateValues" dxfId="10" priority="1"/>
  </conditionalFormatting>
  <dataValidations count="1">
    <dataValidation type="list" allowBlank="1" showInputMessage="1" showErrorMessage="1" sqref="A6" xr:uid="{A78E57D7-0C74-4A81-B112-7E96AACCD251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6818-BC7E-49FE-9313-B39F4FFA18FD}">
  <sheetPr codeName="Hoja4">
    <tabColor rgb="FF92D050"/>
    <pageSetUpPr fitToPage="1"/>
  </sheetPr>
  <dimension ref="A1:Z36"/>
  <sheetViews>
    <sheetView view="pageBreakPreview" topLeftCell="A4" zoomScale="70" zoomScaleNormal="69" zoomScaleSheetLayoutView="70" workbookViewId="0">
      <selection activeCell="E24" sqref="E24:F24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42989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29</v>
      </c>
      <c r="B6" s="87" t="str">
        <f>VLOOKUP(A6,Dev!$C$1:$D$78,2,FALSE)</f>
        <v>ALVARO JAVIER ARIAS BAUTISTA</v>
      </c>
      <c r="C6" s="88"/>
      <c r="D6" s="89"/>
      <c r="E6" s="84" t="str">
        <f>VLOOKUP(A6,'BD Total'!$A$2:$EZ$18,77,FALSE)</f>
        <v>COUNTRY MANAGING DIRECTOR</v>
      </c>
      <c r="F6" s="84"/>
      <c r="G6" s="84"/>
      <c r="H6" s="84"/>
      <c r="I6" s="84" t="str">
        <f>VLOOKUP(A6,'BD Total'!$A$2:$EZ$18,81,FALSE)</f>
        <v>CEO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45191394</v>
      </c>
      <c r="B8" s="19" t="str">
        <f>VLOOKUP(A6,'BD Total'!$A$2:$EZ$18,85,FALSE)</f>
        <v>322431AABAT4</v>
      </c>
      <c r="C8" s="84" t="str">
        <f>VLOOKUP(A6,$W$1:$Y$20,2,FALSE)</f>
        <v>322431AABAT4</v>
      </c>
      <c r="D8" s="84"/>
      <c r="E8" s="85">
        <f>VLOOKUP(A6,'BD Total'!$A$2:$EZ$18,22,FALSE)</f>
        <v>14615</v>
      </c>
      <c r="F8" s="85"/>
      <c r="G8" s="86" t="s">
        <v>43</v>
      </c>
      <c r="H8" s="86"/>
      <c r="I8" s="84" t="str">
        <f>VLOOKUP(A6,$W$1:$Y$20,3,FALSE)</f>
        <v>45191394</v>
      </c>
      <c r="J8" s="84"/>
      <c r="K8" s="84" t="str">
        <f>VLOOKUP(A6,'BD Total'!$A$2:$EZ$18,101,FALSE)</f>
        <v>PROFUTURO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55" t="s">
        <v>61</v>
      </c>
      <c r="B12" s="51"/>
      <c r="C12" s="9">
        <f>SUMIF(Dev!$B:$B,CONCATENATE($A$6,A12),Dev!$L:$L)</f>
        <v>240</v>
      </c>
      <c r="D12" s="14">
        <f>SUMIF(Dev!$B:$B,CONCATENATE($A$6,A12),Dev!M:M)</f>
        <v>14615</v>
      </c>
      <c r="E12" s="29" t="s">
        <v>88</v>
      </c>
      <c r="F12" s="9"/>
      <c r="G12" s="9">
        <f>SUMIF(Dev!$B:$B,CONCATENATE($A$6,E12),Dev!$L:$L)</f>
        <v>0</v>
      </c>
      <c r="H12" s="14">
        <f>SUMIF(Dev!$B:$B,CONCATENATE($A$6,E12),Dev!N:N)</f>
        <v>1461.5</v>
      </c>
      <c r="I12" s="82" t="s">
        <v>63</v>
      </c>
      <c r="J12" s="83"/>
      <c r="K12" s="8">
        <v>0</v>
      </c>
      <c r="L12" s="33">
        <f>VLOOKUP(A6,ESSALUD!$B$1:$G$19,6,FALSE)</f>
        <v>986.51250000000005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29"/>
      <c r="B13" s="9"/>
      <c r="C13" s="9"/>
      <c r="D13" s="14"/>
      <c r="E13" s="29" t="s">
        <v>89</v>
      </c>
      <c r="F13" s="9"/>
      <c r="G13" s="9">
        <f>SUMIF(Dev!$B:$B,CONCATENATE($A$6,E13),Dev!$L:$L)</f>
        <v>0</v>
      </c>
      <c r="H13" s="14">
        <f>SUMIF(Dev!$B:$B,CONCATENATE($A$6,E13),Dev!N:N)</f>
        <v>172.61</v>
      </c>
      <c r="I13" s="75" t="s">
        <v>68</v>
      </c>
      <c r="J13" s="76"/>
      <c r="K13" s="10">
        <v>0</v>
      </c>
      <c r="L13" s="14">
        <f>VLOOKUP(A6,ESSALUD!$B$1:$H$19,7,FALSE)</f>
        <v>328.83749999999986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29"/>
      <c r="B14" s="9"/>
      <c r="C14" s="9"/>
      <c r="D14" s="14"/>
      <c r="E14" t="s">
        <v>62</v>
      </c>
      <c r="F14" s="9"/>
      <c r="G14" s="9">
        <f>SUMIF(Dev!$B:$B,CONCATENATE($A$6,#REF!),Dev!$L:$L)</f>
        <v>0</v>
      </c>
      <c r="H14" s="14">
        <f>SUMIF(Dev!$B:$B,CONCATENATE($A$6,E14),Dev!N:N)</f>
        <v>1972.88</v>
      </c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55"/>
      <c r="B15" s="9"/>
      <c r="C15" s="9"/>
      <c r="D15" s="14"/>
      <c r="E15" s="29"/>
      <c r="F15" s="5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 s="29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1315.35</v>
      </c>
    </row>
    <row r="26" spans="1:25" ht="24.9" customHeight="1">
      <c r="A26" s="72" t="s">
        <v>83</v>
      </c>
      <c r="B26" s="73"/>
      <c r="C26" s="74"/>
      <c r="D26" s="7">
        <f>SUM(D12:D24)</f>
        <v>14615</v>
      </c>
      <c r="E26" s="72" t="s">
        <v>84</v>
      </c>
      <c r="F26" s="73"/>
      <c r="G26" s="74"/>
      <c r="H26" s="7">
        <f>SUM(H12:H24)</f>
        <v>3606.9900000000002</v>
      </c>
      <c r="I26" s="72" t="s">
        <v>85</v>
      </c>
      <c r="J26" s="73"/>
      <c r="K26" s="74"/>
      <c r="L26" s="7">
        <f>+D26-H26</f>
        <v>11008.01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9" priority="2"/>
  </conditionalFormatting>
  <conditionalFormatting sqref="Y18:Y1048576 Y2:Y3">
    <cfRule type="duplicateValues" dxfId="8" priority="1"/>
  </conditionalFormatting>
  <dataValidations count="1">
    <dataValidation type="list" allowBlank="1" showInputMessage="1" showErrorMessage="1" sqref="A6" xr:uid="{2FA262B4-FE3D-44DF-8F8C-3EC4BA3F97EE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43EA-8671-47F2-9E63-430B86510909}">
  <sheetPr codeName="Hoja3">
    <tabColor rgb="FF92D050"/>
    <pageSetUpPr fitToPage="1"/>
  </sheetPr>
  <dimension ref="A1:Z36"/>
  <sheetViews>
    <sheetView view="pageBreakPreview" topLeftCell="A4" zoomScale="80" zoomScaleNormal="69" zoomScaleSheetLayoutView="80" workbookViewId="0">
      <selection activeCell="G15" sqref="G15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42506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22</v>
      </c>
      <c r="B6" s="87" t="str">
        <f>VLOOKUP(A6,Dev!$C$1:$D$78,2,FALSE)</f>
        <v>RONALD FLOREZ SUAREZ</v>
      </c>
      <c r="C6" s="88"/>
      <c r="D6" s="89"/>
      <c r="E6" s="84" t="str">
        <f>VLOOKUP(A6,'BD Total'!$A$2:$EZ$18,77,FALSE)</f>
        <v xml:space="preserve"> IP PROSECUTION SPECIALIST </v>
      </c>
      <c r="F6" s="84"/>
      <c r="G6" s="84"/>
      <c r="H6" s="84"/>
      <c r="I6" s="84" t="str">
        <f>VLOOKUP(A6,'BD Total'!$A$2:$EZ$18,81,FALSE)</f>
        <v>INVENTIONS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44771836</v>
      </c>
      <c r="B8" s="19" t="str">
        <f>VLOOKUP(A6,'BD Total'!$A$2:$EZ$18,85,FALSE)</f>
        <v>621441RFSRR2</v>
      </c>
      <c r="C8" s="84" t="str">
        <f>VLOOKUP(A6,$W$1:$Y$20,2,FALSE)</f>
        <v>621441RFSRR2</v>
      </c>
      <c r="D8" s="84"/>
      <c r="E8" s="85">
        <f>VLOOKUP(A6,'BD Total'!$A$2:$EZ$18,22,FALSE)</f>
        <v>8842</v>
      </c>
      <c r="F8" s="85"/>
      <c r="G8" s="86" t="s">
        <v>43</v>
      </c>
      <c r="H8" s="86"/>
      <c r="I8" s="84" t="str">
        <f>VLOOKUP(A6,$W$1:$Y$20,3,FALSE)</f>
        <v>44771836</v>
      </c>
      <c r="J8" s="84"/>
      <c r="K8" s="84" t="str">
        <f>VLOOKUP(A6,'BD Total'!$A$2:$EZ$18,101,FALSE)</f>
        <v>PROFUTURO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65" t="s">
        <v>61</v>
      </c>
      <c r="B12" s="51"/>
      <c r="C12" s="9">
        <f>SUMIF(Dev!$B:$B,CONCATENATE($A$6,A12),Dev!$L:$L)</f>
        <v>184</v>
      </c>
      <c r="D12" s="14">
        <f>SUMIF(Dev!$B:$B,CONCATENATE($A$6,A12),Dev!M:M)</f>
        <v>6778.87</v>
      </c>
      <c r="E12" s="29" t="s">
        <v>88</v>
      </c>
      <c r="F12" s="9"/>
      <c r="G12" s="9">
        <f>SUMIF(Dev!$B:$B,CONCATENATE($A$6,E12),Dev!$L:$L)</f>
        <v>0</v>
      </c>
      <c r="H12" s="14">
        <f>SUMIF(Dev!$B:$B,CONCATENATE($A$6,E12),Dev!N:N)</f>
        <v>884.2</v>
      </c>
      <c r="I12" s="82" t="s">
        <v>63</v>
      </c>
      <c r="J12" s="83"/>
      <c r="K12" s="8">
        <v>0</v>
      </c>
      <c r="L12" s="33">
        <f>VLOOKUP(A6,ESSALUD!$B$1:$G$19,6,FALSE)</f>
        <v>596.83500000000004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29" t="s">
        <v>76</v>
      </c>
      <c r="B13" s="9"/>
      <c r="C13" s="9">
        <f>SUMIF(Dev!$B:$B,CONCATENATE($A$6,A13),Dev!$L:$L)</f>
        <v>56</v>
      </c>
      <c r="D13" s="14">
        <f>SUMIF(Dev!$B:$B,CONCATENATE($A$6,A13),Dev!M:M)</f>
        <v>2063.13</v>
      </c>
      <c r="E13" s="29" t="s">
        <v>89</v>
      </c>
      <c r="F13" s="9"/>
      <c r="G13" s="9">
        <f>SUMIF(Dev!$B:$B,CONCATENATE($A$6,E13),Dev!$L:$L)</f>
        <v>0</v>
      </c>
      <c r="H13" s="14">
        <f>SUMIF(Dev!$B:$B,CONCATENATE($A$6,E13),Dev!N:N)</f>
        <v>121.14</v>
      </c>
      <c r="I13" s="75" t="s">
        <v>68</v>
      </c>
      <c r="J13" s="76"/>
      <c r="K13" s="10">
        <v>0</v>
      </c>
      <c r="L13" s="14">
        <f>VLOOKUP(A6,ESSALUD!$B$1:$H$19,7,FALSE)</f>
        <v>198.94499999999994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29"/>
      <c r="B14" s="9"/>
      <c r="C14" s="9"/>
      <c r="D14" s="14"/>
      <c r="E14" s="29" t="s">
        <v>90</v>
      </c>
      <c r="F14" s="9"/>
      <c r="G14" s="9">
        <f>SUMIF(Dev!$B:$B,CONCATENATE($A$6,E14),Dev!$L:$L)</f>
        <v>0</v>
      </c>
      <c r="H14" s="14">
        <f>SUMIF(Dev!$B:$B,CONCATENATE($A$6,E14),Dev!N:N)</f>
        <v>149.43</v>
      </c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29"/>
      <c r="B15" s="9"/>
      <c r="C15" s="9"/>
      <c r="D15" s="14"/>
      <c r="E15" s="29" t="s">
        <v>62</v>
      </c>
      <c r="F15" s="9"/>
      <c r="G15" s="9">
        <f>SUMIF(Dev!$B:$B,CONCATENATE($A$6,E15),Dev!$L:$L)</f>
        <v>0</v>
      </c>
      <c r="H15" s="14">
        <f>SUMIF(Dev!$B:$B,CONCATENATE($A$6,E15),Dev!N:N)</f>
        <v>871.57</v>
      </c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795.78</v>
      </c>
    </row>
    <row r="26" spans="1:25" ht="24.9" customHeight="1">
      <c r="A26" s="72" t="s">
        <v>83</v>
      </c>
      <c r="B26" s="73"/>
      <c r="C26" s="74"/>
      <c r="D26" s="7">
        <f>SUM(D12:D24)</f>
        <v>8842</v>
      </c>
      <c r="E26" s="72" t="s">
        <v>84</v>
      </c>
      <c r="F26" s="73"/>
      <c r="G26" s="74"/>
      <c r="H26" s="7">
        <f>SUM(H12:H24)</f>
        <v>2026.3400000000001</v>
      </c>
      <c r="I26" s="72" t="s">
        <v>85</v>
      </c>
      <c r="J26" s="73"/>
      <c r="K26" s="74"/>
      <c r="L26" s="7">
        <f>+D26-H26</f>
        <v>6815.66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7" priority="2"/>
  </conditionalFormatting>
  <conditionalFormatting sqref="Y18:Y1048576 Y2:Y3">
    <cfRule type="duplicateValues" dxfId="6" priority="1"/>
  </conditionalFormatting>
  <dataValidations disablePrompts="1" count="1">
    <dataValidation type="list" allowBlank="1" showInputMessage="1" showErrorMessage="1" sqref="A6" xr:uid="{28B88DF3-1ECD-4F0A-A657-07CCE15AF566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870F-AE74-4500-88CB-0B1E9EB34932}">
  <sheetPr codeName="Hoja2">
    <tabColor rgb="FF92D050"/>
    <pageSetUpPr fitToPage="1"/>
  </sheetPr>
  <dimension ref="A1:Z36"/>
  <sheetViews>
    <sheetView view="pageBreakPreview" topLeftCell="A4" zoomScale="80" zoomScaleNormal="69" zoomScaleSheetLayoutView="80" workbookViewId="0">
      <selection activeCell="E20" sqref="E20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42257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19</v>
      </c>
      <c r="B6" s="87" t="str">
        <f>VLOOKUP(A6,Dev!$C$1:$D$78,2,FALSE)</f>
        <v>FIORELLA GIOVANNA CHICHIZOLA CANALE</v>
      </c>
      <c r="C6" s="88"/>
      <c r="D6" s="89"/>
      <c r="E6" s="84" t="str">
        <f>VLOOKUP(A6,'BD Total'!$A$2:$EZ$18,77,FALSE)</f>
        <v xml:space="preserve"> IP PROSECUTION SPECIALIST </v>
      </c>
      <c r="F6" s="84"/>
      <c r="G6" s="84"/>
      <c r="H6" s="84"/>
      <c r="I6" s="84" t="str">
        <f>VLOOKUP(A6,'BD Total'!$A$2:$EZ$18,81,FALSE)</f>
        <v>CENTRAL SERVICES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40703418</v>
      </c>
      <c r="B8" s="19" t="str">
        <f>VLOOKUP(A6,'BD Total'!$A$2:$EZ$18,85,FALSE)</f>
        <v>595200FCCCA8</v>
      </c>
      <c r="C8" s="84" t="str">
        <f>VLOOKUP(A6,$W$1:$Y$20,2,FALSE)</f>
        <v>595200FCCCA8</v>
      </c>
      <c r="D8" s="84"/>
      <c r="E8" s="85">
        <f>VLOOKUP(A6,'BD Total'!$A$2:$EZ$18,22,FALSE)</f>
        <v>3700</v>
      </c>
      <c r="F8" s="85"/>
      <c r="G8" s="86" t="s">
        <v>43</v>
      </c>
      <c r="H8" s="86"/>
      <c r="I8" s="84" t="str">
        <f>VLOOKUP(A6,$W$1:$Y$20,3,FALSE)</f>
        <v>40703418</v>
      </c>
      <c r="J8" s="84"/>
      <c r="K8" s="84" t="str">
        <f>VLOOKUP(A6,'BD Total'!$A$2:$EZ$18,101,FALSE)</f>
        <v>INTEGRA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55" t="s">
        <v>61</v>
      </c>
      <c r="B12" s="51"/>
      <c r="C12" s="9">
        <f>SUMIF(Dev!$B:$B,CONCATENATE($A$6,A12),Dev!$L:$L)</f>
        <v>216</v>
      </c>
      <c r="D12" s="14">
        <f>SUMIF(Dev!$B:$B,CONCATENATE($A$6,A12),Dev!M:M)</f>
        <v>3330</v>
      </c>
      <c r="E12" s="29" t="s">
        <v>88</v>
      </c>
      <c r="F12" s="9"/>
      <c r="G12" s="9">
        <f>SUMIF(Dev!$B:$B,CONCATENATE($A$6,E12),Dev!$L:$L)</f>
        <v>0</v>
      </c>
      <c r="H12" s="14">
        <f>SUMIF(Dev!$B:$B,CONCATENATE($A$6,E12),Dev!N:N)</f>
        <v>370</v>
      </c>
      <c r="I12" s="82" t="s">
        <v>63</v>
      </c>
      <c r="J12" s="83"/>
      <c r="K12" s="8">
        <v>0</v>
      </c>
      <c r="L12" s="33">
        <f>VLOOKUP(A6,ESSALUD!$B$1:$G$19,6,FALSE)</f>
        <v>249.75000000000003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55" t="s">
        <v>72</v>
      </c>
      <c r="B13" s="9"/>
      <c r="C13" s="9">
        <f>SUMIF(Dev!$B:$B,CONCATENATE($A$6,A13),Dev!$L:$L)</f>
        <v>0</v>
      </c>
      <c r="D13" s="14">
        <f>SUMIF(Dev!$B:$B,CONCATENATE($A$6,A13),Dev!M:M)</f>
        <v>24</v>
      </c>
      <c r="E13" s="29" t="s">
        <v>89</v>
      </c>
      <c r="F13" s="9"/>
      <c r="G13" s="9">
        <f>SUMIF(Dev!$B:$B,CONCATENATE($A$6,E13),Dev!$L:$L)</f>
        <v>0</v>
      </c>
      <c r="H13" s="14">
        <f>SUMIF(Dev!$B:$B,CONCATENATE($A$6,E13),Dev!N:N)</f>
        <v>50.69</v>
      </c>
      <c r="I13" s="75" t="s">
        <v>68</v>
      </c>
      <c r="J13" s="76"/>
      <c r="K13" s="10">
        <v>0</v>
      </c>
      <c r="L13" s="14">
        <f>VLOOKUP(A6,ESSALUD!$B$1:$H$19,7,FALSE)</f>
        <v>83.249999999999972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t="s">
        <v>573</v>
      </c>
      <c r="B14" s="9"/>
      <c r="C14" s="9">
        <f>SUMIF(Dev!$B:$B,CONCATENATE($A$6,A14),Dev!$L:$L)</f>
        <v>24</v>
      </c>
      <c r="D14" s="14">
        <f>SUMIF(Dev!$B:$B,CONCATENATE($A$6,A14),Dev!M:M)</f>
        <v>370</v>
      </c>
      <c r="E14" s="29" t="s">
        <v>90</v>
      </c>
      <c r="F14" s="9"/>
      <c r="G14" s="9">
        <f>SUMIF(Dev!$B:$B,CONCATENATE($A$6,E14),Dev!$L:$L)</f>
        <v>0</v>
      </c>
      <c r="H14" s="14">
        <f>SUMIF(Dev!$B:$B,CONCATENATE($A$6,E14),Dev!N:N)</f>
        <v>57.35</v>
      </c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55"/>
      <c r="B15" s="9"/>
      <c r="C15" s="9"/>
      <c r="D15" s="14"/>
      <c r="E15" s="29" t="s">
        <v>62</v>
      </c>
      <c r="F15" s="9"/>
      <c r="G15" s="9">
        <f>SUMIF(Dev!$B:$B,CONCATENATE($A$6,E15),Dev!$L:$L)</f>
        <v>0</v>
      </c>
      <c r="H15" s="14">
        <f>SUMIF(Dev!$B:$B,CONCATENATE($A$6,E15),Dev!N:N)</f>
        <v>93.85</v>
      </c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14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14"/>
      <c r="E17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333</v>
      </c>
    </row>
    <row r="26" spans="1:25" ht="24.9" customHeight="1">
      <c r="A26" s="72" t="s">
        <v>83</v>
      </c>
      <c r="B26" s="73"/>
      <c r="C26" s="74"/>
      <c r="D26" s="7">
        <f>SUM(D12:D24)</f>
        <v>3724</v>
      </c>
      <c r="E26" s="72" t="s">
        <v>84</v>
      </c>
      <c r="F26" s="73"/>
      <c r="G26" s="74"/>
      <c r="H26" s="7">
        <f>SUM(H12:H24)</f>
        <v>571.89</v>
      </c>
      <c r="I26" s="72" t="s">
        <v>85</v>
      </c>
      <c r="J26" s="73"/>
      <c r="K26" s="74"/>
      <c r="L26" s="7">
        <f>+D26-H26</f>
        <v>3152.11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25:H25"/>
    <mergeCell ref="I25:K25"/>
    <mergeCell ref="A26:C26"/>
    <mergeCell ref="E26:G26"/>
    <mergeCell ref="I26:K26"/>
    <mergeCell ref="A24:B24"/>
    <mergeCell ref="E24:F24"/>
    <mergeCell ref="I24:J24"/>
    <mergeCell ref="I16:J16"/>
    <mergeCell ref="I17:J17"/>
    <mergeCell ref="I18:J18"/>
    <mergeCell ref="I19:J19"/>
    <mergeCell ref="I20:J20"/>
    <mergeCell ref="E21:F21"/>
    <mergeCell ref="I21:J21"/>
    <mergeCell ref="E22:F22"/>
    <mergeCell ref="I22:J22"/>
    <mergeCell ref="A23:B23"/>
    <mergeCell ref="E23:F23"/>
    <mergeCell ref="I23:J23"/>
    <mergeCell ref="A11:B11"/>
    <mergeCell ref="E11:F11"/>
    <mergeCell ref="I11:J11"/>
    <mergeCell ref="I12:J12"/>
    <mergeCell ref="I13:J13"/>
    <mergeCell ref="I14:J14"/>
    <mergeCell ref="C8:D8"/>
    <mergeCell ref="E8:F8"/>
    <mergeCell ref="G8:H8"/>
    <mergeCell ref="I8:J8"/>
    <mergeCell ref="K8:L8"/>
    <mergeCell ref="A10:D10"/>
    <mergeCell ref="E10:H10"/>
    <mergeCell ref="I10:L10"/>
    <mergeCell ref="B6:D6"/>
    <mergeCell ref="E6:H6"/>
    <mergeCell ref="I6:L6"/>
    <mergeCell ref="C7:D7"/>
    <mergeCell ref="E7:F7"/>
    <mergeCell ref="G7:H7"/>
    <mergeCell ref="I7:J7"/>
    <mergeCell ref="K7:L7"/>
    <mergeCell ref="A1:K1"/>
    <mergeCell ref="A2:A3"/>
    <mergeCell ref="B2:D3"/>
    <mergeCell ref="B5:D5"/>
    <mergeCell ref="E5:H5"/>
    <mergeCell ref="I5:L5"/>
  </mergeCells>
  <conditionalFormatting sqref="X2:X1048576">
    <cfRule type="duplicateValues" dxfId="5" priority="2"/>
  </conditionalFormatting>
  <conditionalFormatting sqref="Y18:Y1048576 Y2:Y3">
    <cfRule type="duplicateValues" dxfId="4" priority="1"/>
  </conditionalFormatting>
  <dataValidations count="1">
    <dataValidation type="list" allowBlank="1" showInputMessage="1" showErrorMessage="1" sqref="A6" xr:uid="{E2E141F5-4A09-4ECA-BD24-2FD0B447AA9F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">
    <tabColor rgb="FF92D050"/>
    <pageSetUpPr fitToPage="1"/>
  </sheetPr>
  <dimension ref="A1:Z36"/>
  <sheetViews>
    <sheetView view="pageBreakPreview" zoomScale="70" zoomScaleNormal="69" zoomScaleSheetLayoutView="70" workbookViewId="0">
      <selection activeCell="C17" sqref="C17"/>
    </sheetView>
  </sheetViews>
  <sheetFormatPr baseColWidth="10" defaultColWidth="9.109375" defaultRowHeight="15"/>
  <cols>
    <col min="1" max="1" width="15.6640625" style="1" customWidth="1"/>
    <col min="2" max="2" width="29.33203125" style="1" customWidth="1"/>
    <col min="3" max="5" width="15.6640625" style="1" customWidth="1"/>
    <col min="6" max="6" width="30.44140625" style="1" customWidth="1"/>
    <col min="7" max="7" width="15.6640625" style="1" customWidth="1"/>
    <col min="8" max="8" width="16.33203125" style="1" bestFit="1" customWidth="1"/>
    <col min="9" max="12" width="15.6640625" style="1" customWidth="1"/>
    <col min="13" max="22" width="9.109375" style="1"/>
    <col min="23" max="23" width="27.33203125" style="1" customWidth="1"/>
    <col min="24" max="24" width="43" style="1" bestFit="1" customWidth="1"/>
    <col min="25" max="25" width="23.33203125" style="1" bestFit="1" customWidth="1"/>
    <col min="26" max="16384" width="9.109375" style="1"/>
  </cols>
  <sheetData>
    <row r="1" spans="1:26" ht="54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57"/>
      <c r="W1" s="43" t="s">
        <v>1</v>
      </c>
      <c r="X1" s="43" t="s">
        <v>2</v>
      </c>
      <c r="Y1" s="43" t="s">
        <v>3</v>
      </c>
    </row>
    <row r="2" spans="1:26" ht="24.9" customHeight="1">
      <c r="A2" s="92" t="s">
        <v>4</v>
      </c>
      <c r="B2" s="93" t="s">
        <v>5</v>
      </c>
      <c r="C2" s="94"/>
      <c r="D2" s="95"/>
      <c r="E2" s="16" t="s">
        <v>6</v>
      </c>
      <c r="F2" s="2" t="s">
        <v>7</v>
      </c>
      <c r="G2" s="16" t="s">
        <v>8</v>
      </c>
      <c r="H2" s="47" t="str">
        <f>Detallado!R2</f>
        <v>05</v>
      </c>
      <c r="I2" s="16" t="s">
        <v>9</v>
      </c>
      <c r="J2" s="48" t="str">
        <f>Detallado!S2</f>
        <v>2026</v>
      </c>
      <c r="K2" s="16" t="s">
        <v>10</v>
      </c>
      <c r="L2" s="3">
        <f>VLOOKUP(A6,'BD Total'!$A$2:$EZ$17,11,FALSE)</f>
        <v>44348</v>
      </c>
      <c r="O2" s="1" t="s">
        <v>11</v>
      </c>
      <c r="P2" s="1">
        <v>1</v>
      </c>
      <c r="W2" s="44" t="s">
        <v>12</v>
      </c>
      <c r="X2" s="44" t="s">
        <v>359</v>
      </c>
      <c r="Y2" s="44" t="s">
        <v>14</v>
      </c>
    </row>
    <row r="3" spans="1:26" ht="24.9" customHeight="1">
      <c r="A3" s="92"/>
      <c r="B3" s="96"/>
      <c r="C3" s="97"/>
      <c r="D3" s="98"/>
      <c r="E3" s="16" t="s">
        <v>15</v>
      </c>
      <c r="F3" s="49" t="str">
        <f>VLOOKUP($A$6,Detallado!$C:$U,16,FALSE)</f>
        <v>05</v>
      </c>
      <c r="G3" s="16" t="s">
        <v>16</v>
      </c>
      <c r="H3" s="49" t="str">
        <f>VLOOKUP($A$6,Detallado!$C:$U,18,FALSE)</f>
        <v>01/05/2026</v>
      </c>
      <c r="I3" s="16" t="s">
        <v>17</v>
      </c>
      <c r="J3" s="47">
        <f>VLOOKUP($A$6,Detallado!$C:$U,19,FALSE)</f>
        <v>46173</v>
      </c>
      <c r="K3" s="16" t="s">
        <v>18</v>
      </c>
      <c r="L3" s="3"/>
      <c r="W3" s="44" t="s">
        <v>19</v>
      </c>
      <c r="X3" s="44" t="s">
        <v>399</v>
      </c>
      <c r="Y3" s="44" t="s">
        <v>21</v>
      </c>
    </row>
    <row r="4" spans="1:26" ht="24.9" customHeight="1">
      <c r="A4" s="58"/>
      <c r="L4" s="59"/>
      <c r="W4" s="44" t="s">
        <v>22</v>
      </c>
      <c r="X4" s="44" t="s">
        <v>412</v>
      </c>
      <c r="Y4" s="44" t="s">
        <v>24</v>
      </c>
    </row>
    <row r="5" spans="1:26" ht="24.9" customHeight="1">
      <c r="A5" s="17" t="s">
        <v>25</v>
      </c>
      <c r="B5" s="79" t="s">
        <v>26</v>
      </c>
      <c r="C5" s="99"/>
      <c r="D5" s="80"/>
      <c r="E5" s="81" t="s">
        <v>27</v>
      </c>
      <c r="F5" s="81"/>
      <c r="G5" s="81"/>
      <c r="H5" s="81"/>
      <c r="I5" s="81" t="s">
        <v>28</v>
      </c>
      <c r="J5" s="81"/>
      <c r="K5" s="81"/>
      <c r="L5" s="81"/>
      <c r="W5" s="44" t="s">
        <v>29</v>
      </c>
      <c r="X5" s="44" t="s">
        <v>428</v>
      </c>
      <c r="Y5" s="44" t="s">
        <v>31</v>
      </c>
    </row>
    <row r="6" spans="1:26" s="15" customFormat="1" ht="24.9" customHeight="1">
      <c r="A6" s="27" t="s">
        <v>12</v>
      </c>
      <c r="B6" s="87" t="str">
        <f>VLOOKUP(A6,Dev!$C$1:$D$78,2,FALSE)</f>
        <v>ROCIO DE LOURDES RAMOS CORI</v>
      </c>
      <c r="C6" s="88"/>
      <c r="D6" s="89"/>
      <c r="E6" s="84" t="str">
        <f>VLOOKUP(A6,'BD Total'!$A$2:$EZ$18,77,FALSE)</f>
        <v xml:space="preserve"> IP PROSECUTION SPECIALIST </v>
      </c>
      <c r="F6" s="84"/>
      <c r="G6" s="84"/>
      <c r="H6" s="84"/>
      <c r="I6" s="84" t="str">
        <f>VLOOKUP(A6,'BD Total'!$A$2:$EZ$18,81,FALSE)</f>
        <v>CENTRAL SERVICES</v>
      </c>
      <c r="J6" s="84"/>
      <c r="K6" s="84"/>
      <c r="L6" s="84"/>
      <c r="W6" s="45" t="s">
        <v>32</v>
      </c>
      <c r="X6" s="45" t="s">
        <v>438</v>
      </c>
      <c r="Y6" s="45" t="s">
        <v>34</v>
      </c>
      <c r="Z6" s="1"/>
    </row>
    <row r="7" spans="1:26" ht="24.9" customHeight="1">
      <c r="A7" s="17" t="s">
        <v>35</v>
      </c>
      <c r="B7" s="18" t="s">
        <v>36</v>
      </c>
      <c r="C7" s="81" t="s">
        <v>2</v>
      </c>
      <c r="D7" s="81"/>
      <c r="E7" s="79" t="s">
        <v>37</v>
      </c>
      <c r="F7" s="80"/>
      <c r="G7" s="79" t="s">
        <v>38</v>
      </c>
      <c r="H7" s="80"/>
      <c r="I7" s="79" t="s">
        <v>3</v>
      </c>
      <c r="J7" s="80"/>
      <c r="K7" s="79" t="s">
        <v>39</v>
      </c>
      <c r="L7" s="80"/>
      <c r="W7" s="44" t="s">
        <v>40</v>
      </c>
      <c r="X7" s="44" t="s">
        <v>452</v>
      </c>
      <c r="Y7" s="44" t="s">
        <v>42</v>
      </c>
    </row>
    <row r="8" spans="1:26" s="15" customFormat="1" ht="24.9" customHeight="1">
      <c r="A8" s="19" t="str">
        <f>VLOOKUP(A6,'BD Total'!$A$2:$EZ$18,2,FALSE)</f>
        <v>07874085</v>
      </c>
      <c r="B8" s="19" t="str">
        <f>VLOOKUP(A6,'BD Total'!$A$2:$EZ$18,85,FALSE)</f>
        <v>260130RRCOI9</v>
      </c>
      <c r="C8" s="84" t="str">
        <f>VLOOKUP(A6,$W$1:$Y$20,2,FALSE)</f>
        <v>260130RRCOI9</v>
      </c>
      <c r="D8" s="84"/>
      <c r="E8" s="85">
        <f>VLOOKUP(A6,'BD Total'!$A$2:$EZ$18,22,FALSE)</f>
        <v>3899</v>
      </c>
      <c r="F8" s="85"/>
      <c r="G8" s="86" t="s">
        <v>43</v>
      </c>
      <c r="H8" s="86"/>
      <c r="I8" s="84" t="str">
        <f>VLOOKUP(A6,$W$1:$Y$20,3,FALSE)</f>
        <v>07874085</v>
      </c>
      <c r="J8" s="84"/>
      <c r="K8" s="84" t="str">
        <f>VLOOKUP(A6,'BD Total'!$A$2:$EZ$18,101,FALSE)</f>
        <v>INTEGRA</v>
      </c>
      <c r="L8" s="84"/>
      <c r="W8" s="45" t="s">
        <v>44</v>
      </c>
      <c r="X8" s="45" t="s">
        <v>465</v>
      </c>
      <c r="Y8" s="45" t="s">
        <v>46</v>
      </c>
      <c r="Z8" s="1"/>
    </row>
    <row r="9" spans="1:26" ht="24.9" customHeight="1">
      <c r="A9" s="60"/>
      <c r="L9" s="59"/>
      <c r="W9" s="44" t="s">
        <v>47</v>
      </c>
      <c r="X9" s="44" t="s">
        <v>475</v>
      </c>
      <c r="Y9" s="44" t="s">
        <v>49</v>
      </c>
    </row>
    <row r="10" spans="1:26" ht="28.5" customHeight="1">
      <c r="A10" s="81" t="s">
        <v>50</v>
      </c>
      <c r="B10" s="81"/>
      <c r="C10" s="81"/>
      <c r="D10" s="81"/>
      <c r="E10" s="81" t="s">
        <v>51</v>
      </c>
      <c r="F10" s="81"/>
      <c r="G10" s="81"/>
      <c r="H10" s="81"/>
      <c r="I10" s="81" t="s">
        <v>52</v>
      </c>
      <c r="J10" s="81"/>
      <c r="K10" s="81"/>
      <c r="L10" s="81"/>
      <c r="W10" s="44" t="s">
        <v>53</v>
      </c>
      <c r="X10" s="44">
        <v>0</v>
      </c>
      <c r="Y10" s="44" t="s">
        <v>54</v>
      </c>
    </row>
    <row r="11" spans="1:26" ht="24.9" customHeight="1">
      <c r="A11" s="79" t="s">
        <v>55</v>
      </c>
      <c r="B11" s="80"/>
      <c r="C11" s="17" t="s">
        <v>56</v>
      </c>
      <c r="D11" s="17" t="s">
        <v>57</v>
      </c>
      <c r="E11" s="81" t="s">
        <v>55</v>
      </c>
      <c r="F11" s="81"/>
      <c r="G11" s="17" t="s">
        <v>56</v>
      </c>
      <c r="H11" s="17" t="s">
        <v>57</v>
      </c>
      <c r="I11" s="81" t="s">
        <v>55</v>
      </c>
      <c r="J11" s="81"/>
      <c r="K11" s="17" t="s">
        <v>56</v>
      </c>
      <c r="L11" s="17" t="s">
        <v>57</v>
      </c>
      <c r="W11" s="44" t="s">
        <v>58</v>
      </c>
      <c r="X11" s="44" t="s">
        <v>505</v>
      </c>
      <c r="Y11" s="44" t="s">
        <v>60</v>
      </c>
    </row>
    <row r="12" spans="1:26" ht="24.9" customHeight="1">
      <c r="A12" s="29" t="s">
        <v>61</v>
      </c>
      <c r="B12" s="51"/>
      <c r="C12" s="9">
        <f>SUMIF(Dev!$B:$B,CONCATENATE($A$6,A12),Dev!$L:$L)</f>
        <v>240</v>
      </c>
      <c r="D12" s="14">
        <f>SUMIF(Dev!$B:$B,CONCATENATE($A$6,A12),Dev!M:M)</f>
        <v>3899</v>
      </c>
      <c r="E12" s="29" t="s">
        <v>62</v>
      </c>
      <c r="F12" s="9"/>
      <c r="G12" s="9">
        <f>SUMIF(Dev!$B:$B,CONCATENATE($A$6,E12),Dev!$L:$L)</f>
        <v>0</v>
      </c>
      <c r="H12" s="14">
        <f>SUMIF(Dev!$B:$B,CONCATENATE($A$6,E12),Dev!N:N)</f>
        <v>121.57</v>
      </c>
      <c r="I12" s="82" t="s">
        <v>63</v>
      </c>
      <c r="J12" s="83"/>
      <c r="K12" s="8">
        <v>0</v>
      </c>
      <c r="L12" s="33">
        <f>VLOOKUP(A6,ESSALUD!$B$1:$G$19,6,FALSE)</f>
        <v>270.81</v>
      </c>
      <c r="W12" s="44" t="s">
        <v>69</v>
      </c>
      <c r="X12" s="44" t="s">
        <v>70</v>
      </c>
      <c r="Y12" s="44" t="s">
        <v>71</v>
      </c>
    </row>
    <row r="13" spans="1:26" ht="24.9" customHeight="1">
      <c r="A13" s="29" t="s">
        <v>72</v>
      </c>
      <c r="B13" s="9"/>
      <c r="C13" s="9">
        <f>SUMIF(Dev!$B:$B,CONCATENATE($A$6,A13),Dev!$L:$L)</f>
        <v>0</v>
      </c>
      <c r="D13" s="14">
        <f>SUMIF(Dev!$B:$B,CONCATENATE($A$6,A13),Dev!M:M)</f>
        <v>36</v>
      </c>
      <c r="E13" s="29" t="s">
        <v>67</v>
      </c>
      <c r="F13" s="9"/>
      <c r="G13" s="9">
        <f>SUMIF(Dev!$B:$B,CONCATENATE($A$6,E13),Dev!$L:$L)</f>
        <v>0</v>
      </c>
      <c r="H13" s="14">
        <f>SUMIF(Dev!$B:$B,CONCATENATE($A$6,E13),Dev!N:N)</f>
        <v>202.42</v>
      </c>
      <c r="I13" s="75" t="s">
        <v>68</v>
      </c>
      <c r="J13" s="76"/>
      <c r="K13" s="10">
        <v>0</v>
      </c>
      <c r="L13" s="14">
        <f>VLOOKUP(A6,ESSALUD!$B$1:$H$19,7,FALSE)</f>
        <v>90.269999999999982</v>
      </c>
      <c r="W13" s="44" t="s">
        <v>73</v>
      </c>
      <c r="X13" s="44" t="s">
        <v>542</v>
      </c>
      <c r="Y13" s="44" t="s">
        <v>75</v>
      </c>
    </row>
    <row r="14" spans="1:26" ht="24.9" customHeight="1">
      <c r="A14" s="29" t="s">
        <v>66</v>
      </c>
      <c r="B14" s="9"/>
      <c r="C14" s="9">
        <f>SUMIF(Dev!$B:$B,CONCATENATE($A$6,A14),Dev!$L:$L)</f>
        <v>0</v>
      </c>
      <c r="D14" s="29">
        <f>SUMIF(Dev!$B:$B,CONCATENATE($A$6,A14),Dev!M:M)</f>
        <v>113</v>
      </c>
      <c r="E14" s="29"/>
      <c r="F14" s="9"/>
      <c r="G14" s="9"/>
      <c r="H14" s="14"/>
      <c r="I14" s="75"/>
      <c r="J14" s="76"/>
      <c r="K14" s="10"/>
      <c r="L14" s="9"/>
      <c r="W14" s="44" t="s">
        <v>81</v>
      </c>
      <c r="X14" s="44" t="s">
        <v>454</v>
      </c>
      <c r="Y14" s="44" t="s">
        <v>81</v>
      </c>
    </row>
    <row r="15" spans="1:26" ht="24.9" customHeight="1">
      <c r="A15" s="29"/>
      <c r="B15" s="9"/>
      <c r="C15" s="9"/>
      <c r="D15" s="29"/>
      <c r="E15" s="29"/>
      <c r="F15" s="9"/>
      <c r="G15" s="9"/>
      <c r="H15" s="14"/>
      <c r="I15" s="29"/>
      <c r="J15" s="9"/>
      <c r="K15" s="10"/>
      <c r="L15" s="9"/>
      <c r="W15" s="44" t="s">
        <v>64</v>
      </c>
      <c r="X15" s="44" t="s">
        <v>65</v>
      </c>
      <c r="Y15" s="44" t="s">
        <v>64</v>
      </c>
    </row>
    <row r="16" spans="1:26" ht="24.9" customHeight="1">
      <c r="A16" s="29"/>
      <c r="B16" s="9"/>
      <c r="C16" s="9"/>
      <c r="D16" s="29"/>
      <c r="E16" s="29"/>
      <c r="F16" s="9"/>
      <c r="G16" s="9"/>
      <c r="H16" s="14"/>
      <c r="I16" s="75"/>
      <c r="J16" s="76"/>
      <c r="K16" s="10"/>
      <c r="L16" s="9"/>
      <c r="W16" s="44" t="s">
        <v>77</v>
      </c>
      <c r="X16" s="44" t="s">
        <v>78</v>
      </c>
      <c r="Y16" s="44" t="s">
        <v>77</v>
      </c>
    </row>
    <row r="17" spans="1:25" ht="24.9" customHeight="1">
      <c r="A17" s="29"/>
      <c r="B17" s="9"/>
      <c r="C17" s="9"/>
      <c r="D17" s="29"/>
      <c r="E17" s="29"/>
      <c r="F17" s="9"/>
      <c r="G17" s="9"/>
      <c r="H17" s="14"/>
      <c r="I17" s="75"/>
      <c r="J17" s="76"/>
      <c r="K17" s="10"/>
      <c r="L17" s="9"/>
      <c r="W17" s="46" t="s">
        <v>80</v>
      </c>
      <c r="X17" s="44" t="s">
        <v>48</v>
      </c>
      <c r="Y17" s="46" t="s">
        <v>80</v>
      </c>
    </row>
    <row r="18" spans="1:25" ht="24.9" customHeight="1">
      <c r="A18" s="29"/>
      <c r="B18" s="9"/>
      <c r="C18" s="9"/>
      <c r="D18" s="29"/>
      <c r="E18" s="29"/>
      <c r="F18" s="9"/>
      <c r="G18" s="9"/>
      <c r="H18" s="9"/>
      <c r="I18" s="75"/>
      <c r="J18" s="76"/>
      <c r="K18" s="10"/>
      <c r="L18" s="9"/>
      <c r="W18" s="46" t="s">
        <v>591</v>
      </c>
      <c r="X18" s="44" t="s">
        <v>48</v>
      </c>
      <c r="Y18" s="46" t="s">
        <v>591</v>
      </c>
    </row>
    <row r="19" spans="1:25" ht="24.9" customHeight="1">
      <c r="A19" s="29"/>
      <c r="B19" s="9"/>
      <c r="C19" s="9"/>
      <c r="D19" s="14"/>
      <c r="E19" s="29"/>
      <c r="F19" s="9"/>
      <c r="G19" s="10"/>
      <c r="H19" s="9"/>
      <c r="I19" s="75"/>
      <c r="J19" s="76"/>
      <c r="K19" s="10"/>
      <c r="L19" s="9"/>
    </row>
    <row r="20" spans="1:25" ht="24.9" customHeight="1">
      <c r="A20" s="29"/>
      <c r="B20" s="9"/>
      <c r="C20" s="9"/>
      <c r="D20" s="14"/>
      <c r="E20" s="29"/>
      <c r="F20" s="9"/>
      <c r="G20" s="10"/>
      <c r="H20" s="9"/>
      <c r="I20" s="75"/>
      <c r="J20" s="76"/>
      <c r="K20" s="10"/>
      <c r="L20" s="9"/>
    </row>
    <row r="21" spans="1:25" ht="24.9" customHeight="1">
      <c r="A21" s="29"/>
      <c r="B21" s="9"/>
      <c r="C21" s="9"/>
      <c r="D21" s="9"/>
      <c r="E21" s="75"/>
      <c r="F21" s="76"/>
      <c r="G21" s="10"/>
      <c r="H21" s="9"/>
      <c r="I21" s="75"/>
      <c r="J21" s="76"/>
      <c r="K21" s="10"/>
      <c r="L21" s="9"/>
    </row>
    <row r="22" spans="1:25" ht="24.9" customHeight="1">
      <c r="A22" s="29"/>
      <c r="B22" s="9"/>
      <c r="C22" s="9"/>
      <c r="D22" s="9"/>
      <c r="E22" s="75"/>
      <c r="F22" s="76"/>
      <c r="G22" s="10"/>
      <c r="H22" s="9"/>
      <c r="I22" s="75"/>
      <c r="J22" s="76"/>
      <c r="K22" s="10"/>
      <c r="L22" s="9"/>
    </row>
    <row r="23" spans="1:25" ht="24.9" customHeight="1">
      <c r="A23" s="75"/>
      <c r="B23" s="76"/>
      <c r="C23" s="9"/>
      <c r="D23" s="9"/>
      <c r="E23" s="75"/>
      <c r="F23" s="76"/>
      <c r="G23" s="10"/>
      <c r="H23" s="9"/>
      <c r="I23" s="75"/>
      <c r="J23" s="76"/>
      <c r="K23" s="10"/>
      <c r="L23" s="9"/>
    </row>
    <row r="24" spans="1:25" ht="24.9" customHeight="1">
      <c r="A24" s="77"/>
      <c r="B24" s="78"/>
      <c r="C24" s="11"/>
      <c r="D24" s="11"/>
      <c r="E24" s="77"/>
      <c r="F24" s="78"/>
      <c r="G24" s="12"/>
      <c r="H24" s="11"/>
      <c r="I24" s="77"/>
      <c r="J24" s="78"/>
      <c r="K24" s="12"/>
      <c r="L24" s="11"/>
    </row>
    <row r="25" spans="1:25" ht="24.9" customHeight="1">
      <c r="A25" s="70"/>
      <c r="B25" s="70"/>
      <c r="C25" s="71"/>
      <c r="D25" s="71"/>
      <c r="E25" s="71"/>
      <c r="F25" s="71"/>
      <c r="G25" s="71"/>
      <c r="H25" s="71"/>
      <c r="I25" s="72" t="s">
        <v>82</v>
      </c>
      <c r="J25" s="73"/>
      <c r="K25" s="74"/>
      <c r="L25" s="7">
        <f>SUM(L12:L24)</f>
        <v>361.08</v>
      </c>
    </row>
    <row r="26" spans="1:25" ht="24.9" customHeight="1">
      <c r="A26" s="72" t="s">
        <v>83</v>
      </c>
      <c r="B26" s="73"/>
      <c r="C26" s="74"/>
      <c r="D26" s="7">
        <f>SUM(D12:D24)</f>
        <v>4048</v>
      </c>
      <c r="E26" s="72" t="s">
        <v>84</v>
      </c>
      <c r="F26" s="73"/>
      <c r="G26" s="74"/>
      <c r="H26" s="7">
        <f>SUM(H12:H24)</f>
        <v>323.99</v>
      </c>
      <c r="I26" s="72" t="s">
        <v>85</v>
      </c>
      <c r="J26" s="73"/>
      <c r="K26" s="74"/>
      <c r="L26" s="7">
        <f>+D26-H26</f>
        <v>3724.01</v>
      </c>
      <c r="M26" s="13"/>
    </row>
    <row r="27" spans="1:25">
      <c r="A27" s="60"/>
      <c r="L27" s="59"/>
    </row>
    <row r="28" spans="1:25">
      <c r="A28" s="60"/>
      <c r="L28" s="59"/>
    </row>
    <row r="29" spans="1:25">
      <c r="A29" s="60"/>
      <c r="L29" s="59"/>
    </row>
    <row r="30" spans="1:25">
      <c r="A30" s="60"/>
      <c r="L30" s="59"/>
    </row>
    <row r="31" spans="1:25">
      <c r="A31" s="60"/>
      <c r="L31" s="59"/>
    </row>
    <row r="32" spans="1:25">
      <c r="A32" s="60"/>
      <c r="L32" s="59"/>
    </row>
    <row r="33" spans="1:12">
      <c r="A33" s="60"/>
      <c r="L33" s="59"/>
    </row>
    <row r="34" spans="1:12">
      <c r="A34" s="60"/>
      <c r="L34" s="59"/>
    </row>
    <row r="35" spans="1:12">
      <c r="A35" s="60"/>
      <c r="F35" s="4"/>
      <c r="G35" s="4"/>
      <c r="H35" s="4"/>
      <c r="J35" s="4"/>
      <c r="K35" s="4"/>
      <c r="L35" s="61"/>
    </row>
    <row r="36" spans="1:12">
      <c r="A36" s="62"/>
      <c r="B36" s="4"/>
      <c r="C36" s="4"/>
      <c r="D36" s="4"/>
      <c r="E36" s="4"/>
      <c r="F36" s="4" t="s">
        <v>86</v>
      </c>
      <c r="G36" s="4"/>
      <c r="H36" s="4"/>
      <c r="I36" s="4"/>
      <c r="J36" s="4" t="s">
        <v>87</v>
      </c>
      <c r="K36" s="4"/>
      <c r="L36" s="61"/>
    </row>
  </sheetData>
  <mergeCells count="48">
    <mergeCell ref="A1:K1"/>
    <mergeCell ref="A2:A3"/>
    <mergeCell ref="E5:H5"/>
    <mergeCell ref="I5:L5"/>
    <mergeCell ref="E6:H6"/>
    <mergeCell ref="I6:L6"/>
    <mergeCell ref="B2:D3"/>
    <mergeCell ref="B5:D5"/>
    <mergeCell ref="B6:D6"/>
    <mergeCell ref="I7:J7"/>
    <mergeCell ref="K7:L7"/>
    <mergeCell ref="I8:J8"/>
    <mergeCell ref="K8:L8"/>
    <mergeCell ref="A10:D10"/>
    <mergeCell ref="E10:H10"/>
    <mergeCell ref="I10:L10"/>
    <mergeCell ref="C7:D7"/>
    <mergeCell ref="C8:D8"/>
    <mergeCell ref="E7:F7"/>
    <mergeCell ref="G7:H7"/>
    <mergeCell ref="E8:F8"/>
    <mergeCell ref="G8:H8"/>
    <mergeCell ref="I12:J12"/>
    <mergeCell ref="I14:J14"/>
    <mergeCell ref="A11:B11"/>
    <mergeCell ref="E11:F11"/>
    <mergeCell ref="I11:J11"/>
    <mergeCell ref="I13:J13"/>
    <mergeCell ref="A23:B23"/>
    <mergeCell ref="I22:J22"/>
    <mergeCell ref="I16:J16"/>
    <mergeCell ref="I17:J17"/>
    <mergeCell ref="I18:J18"/>
    <mergeCell ref="E21:F21"/>
    <mergeCell ref="E22:F22"/>
    <mergeCell ref="I19:J19"/>
    <mergeCell ref="I20:J20"/>
    <mergeCell ref="I21:J21"/>
    <mergeCell ref="I23:J23"/>
    <mergeCell ref="E23:F23"/>
    <mergeCell ref="I24:J24"/>
    <mergeCell ref="I25:K25"/>
    <mergeCell ref="A25:H25"/>
    <mergeCell ref="A26:C26"/>
    <mergeCell ref="E26:G26"/>
    <mergeCell ref="I26:K26"/>
    <mergeCell ref="E24:F24"/>
    <mergeCell ref="A24:B24"/>
  </mergeCells>
  <conditionalFormatting sqref="X2:X1048576">
    <cfRule type="duplicateValues" dxfId="3" priority="2"/>
  </conditionalFormatting>
  <conditionalFormatting sqref="Y18:Y1048576 Y2:Y3">
    <cfRule type="duplicateValues" dxfId="2" priority="1"/>
  </conditionalFormatting>
  <dataValidations count="1">
    <dataValidation type="list" allowBlank="1" showInputMessage="1" showErrorMessage="1" sqref="A6" xr:uid="{00000000-0002-0000-1000-000000000000}">
      <formula1>$W$2:$W$18</formula1>
    </dataValidation>
  </dataValidations>
  <pageMargins left="0.7" right="0.7" top="0.75" bottom="0.75" header="0.3" footer="0.3"/>
  <pageSetup scale="41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6"/>
  <dimension ref="A1:V86"/>
  <sheetViews>
    <sheetView showGridLines="0" topLeftCell="N4" zoomScale="85" zoomScaleNormal="85" workbookViewId="0">
      <selection activeCell="V10" sqref="V10"/>
    </sheetView>
  </sheetViews>
  <sheetFormatPr baseColWidth="10" defaultColWidth="9.109375" defaultRowHeight="14.4"/>
  <cols>
    <col min="1" max="7" width="13.44140625" style="26" customWidth="1"/>
    <col min="8" max="11" width="19.33203125" style="26" customWidth="1"/>
    <col min="12" max="12" width="6.88671875" style="26" customWidth="1"/>
    <col min="13" max="13" width="10.44140625" style="26" customWidth="1"/>
    <col min="14" max="15" width="10.109375" style="26" customWidth="1"/>
    <col min="16" max="16" width="30" bestFit="1" customWidth="1"/>
    <col min="17" max="17" width="18.88671875" bestFit="1" customWidth="1"/>
    <col min="18" max="18" width="31.88671875" bestFit="1" customWidth="1"/>
    <col min="19" max="19" width="27.33203125" bestFit="1" customWidth="1"/>
    <col min="20" max="20" width="26.5546875" bestFit="1" customWidth="1"/>
    <col min="21" max="21" width="27.33203125" bestFit="1" customWidth="1"/>
    <col min="22" max="22" width="36.44140625" bestFit="1" customWidth="1"/>
    <col min="23" max="23" width="23.5546875" bestFit="1" customWidth="1"/>
    <col min="24" max="24" width="27.33203125" bestFit="1" customWidth="1"/>
    <col min="25" max="25" width="26.5546875" bestFit="1" customWidth="1"/>
    <col min="26" max="26" width="18.44140625" bestFit="1" customWidth="1"/>
    <col min="27" max="27" width="27.33203125" bestFit="1" customWidth="1"/>
    <col min="28" max="28" width="26.5546875" bestFit="1" customWidth="1"/>
    <col min="29" max="29" width="15.33203125" bestFit="1" customWidth="1"/>
    <col min="30" max="30" width="27.33203125" bestFit="1" customWidth="1"/>
    <col min="31" max="31" width="26.5546875" bestFit="1" customWidth="1"/>
    <col min="32" max="32" width="36.109375" bestFit="1" customWidth="1"/>
    <col min="33" max="33" width="27.33203125" bestFit="1" customWidth="1"/>
    <col min="34" max="34" width="26.5546875" bestFit="1" customWidth="1"/>
    <col min="35" max="35" width="32.109375" bestFit="1" customWidth="1"/>
    <col min="36" max="36" width="27.33203125" bestFit="1" customWidth="1"/>
    <col min="37" max="37" width="26.5546875" bestFit="1" customWidth="1"/>
    <col min="38" max="38" width="19.33203125" bestFit="1" customWidth="1"/>
    <col min="39" max="39" width="27.33203125" bestFit="1" customWidth="1"/>
    <col min="40" max="40" width="26.5546875" bestFit="1" customWidth="1"/>
    <col min="41" max="41" width="24.88671875" bestFit="1" customWidth="1"/>
    <col min="42" max="42" width="27.33203125" bestFit="1" customWidth="1"/>
    <col min="43" max="43" width="26.5546875" bestFit="1" customWidth="1"/>
    <col min="44" max="44" width="15.109375" bestFit="1" customWidth="1"/>
    <col min="45" max="45" width="27.33203125" bestFit="1" customWidth="1"/>
    <col min="46" max="46" width="26.5546875" bestFit="1" customWidth="1"/>
    <col min="47" max="47" width="15.109375" bestFit="1" customWidth="1"/>
    <col min="48" max="48" width="27.33203125" bestFit="1" customWidth="1"/>
    <col min="49" max="49" width="26.5546875" bestFit="1" customWidth="1"/>
    <col min="50" max="50" width="23" bestFit="1" customWidth="1"/>
    <col min="51" max="51" width="27.33203125" bestFit="1" customWidth="1"/>
    <col min="52" max="52" width="26.5546875" bestFit="1" customWidth="1"/>
    <col min="53" max="53" width="36.109375" bestFit="1" customWidth="1"/>
  </cols>
  <sheetData>
    <row r="1" spans="1:22" ht="18">
      <c r="A1" s="20" t="s">
        <v>92</v>
      </c>
      <c r="B1" s="20" t="s">
        <v>93</v>
      </c>
      <c r="C1" s="20" t="s">
        <v>1</v>
      </c>
      <c r="D1" s="20" t="s">
        <v>94</v>
      </c>
      <c r="E1" s="20" t="s">
        <v>95</v>
      </c>
      <c r="F1" s="20" t="s">
        <v>96</v>
      </c>
      <c r="G1" s="20" t="s">
        <v>37</v>
      </c>
      <c r="H1" s="20" t="s">
        <v>97</v>
      </c>
      <c r="I1" s="20" t="s">
        <v>55</v>
      </c>
      <c r="J1" s="20" t="s">
        <v>98</v>
      </c>
      <c r="K1" s="20" t="s">
        <v>572</v>
      </c>
      <c r="L1" s="20" t="s">
        <v>56</v>
      </c>
      <c r="M1" s="20" t="s">
        <v>99</v>
      </c>
      <c r="N1" s="20" t="s">
        <v>100</v>
      </c>
      <c r="O1" s="20" t="s">
        <v>101</v>
      </c>
      <c r="Q1" s="28" t="s">
        <v>102</v>
      </c>
      <c r="R1" t="s">
        <v>103</v>
      </c>
    </row>
    <row r="2" spans="1:22" ht="18">
      <c r="A2" s="22">
        <v>1</v>
      </c>
      <c r="B2" s="22" t="str">
        <f>+CONCATENATE($C2,$K2)</f>
        <v>1007874085A000 SUELDO BASICO</v>
      </c>
      <c r="C2" s="22" t="s">
        <v>12</v>
      </c>
      <c r="D2" s="22" t="s">
        <v>139</v>
      </c>
      <c r="E2" s="22" t="s">
        <v>14</v>
      </c>
      <c r="F2" s="52">
        <v>44348</v>
      </c>
      <c r="G2" s="53">
        <v>3899</v>
      </c>
      <c r="H2" s="68" t="s">
        <v>604</v>
      </c>
      <c r="I2" s="22" t="s">
        <v>105</v>
      </c>
      <c r="J2" s="22" t="s">
        <v>106</v>
      </c>
      <c r="K2" s="22" t="s">
        <v>61</v>
      </c>
      <c r="L2" s="22">
        <v>240</v>
      </c>
      <c r="M2" s="53">
        <v>3899</v>
      </c>
      <c r="N2" s="53">
        <v>0</v>
      </c>
      <c r="O2" s="64">
        <v>3899</v>
      </c>
      <c r="Q2" s="28" t="s">
        <v>100</v>
      </c>
      <c r="R2" t="s">
        <v>103</v>
      </c>
    </row>
    <row r="3" spans="1:22" ht="27">
      <c r="A3" s="22">
        <v>1</v>
      </c>
      <c r="B3" s="22" t="str">
        <f t="shared" ref="B3:B66" si="0">+CONCATENATE($C3,$K3)</f>
        <v>1007874085A012 ASIGNACION FAMILIAR</v>
      </c>
      <c r="C3" s="22" t="s">
        <v>12</v>
      </c>
      <c r="D3" s="22" t="s">
        <v>139</v>
      </c>
      <c r="E3" s="22" t="s">
        <v>14</v>
      </c>
      <c r="F3" s="52">
        <v>44348</v>
      </c>
      <c r="G3" s="53">
        <v>3899</v>
      </c>
      <c r="H3" s="68" t="s">
        <v>604</v>
      </c>
      <c r="I3" s="22" t="s">
        <v>120</v>
      </c>
      <c r="J3" s="22" t="s">
        <v>121</v>
      </c>
      <c r="K3" s="22" t="s">
        <v>66</v>
      </c>
      <c r="L3" s="22">
        <v>0</v>
      </c>
      <c r="M3" s="53">
        <v>113</v>
      </c>
      <c r="N3" s="53">
        <v>0</v>
      </c>
      <c r="O3" s="64">
        <v>113</v>
      </c>
    </row>
    <row r="4" spans="1:22" ht="27">
      <c r="A4" s="22">
        <v>1</v>
      </c>
      <c r="B4" s="22" t="str">
        <f t="shared" si="0"/>
        <v>1007874085D013 AUXILIO DE MOVILIDAD</v>
      </c>
      <c r="C4" s="22" t="s">
        <v>12</v>
      </c>
      <c r="D4" s="22" t="s">
        <v>139</v>
      </c>
      <c r="E4" s="22" t="s">
        <v>14</v>
      </c>
      <c r="F4" s="52">
        <v>44348</v>
      </c>
      <c r="G4" s="53">
        <v>3899</v>
      </c>
      <c r="H4" s="68" t="s">
        <v>604</v>
      </c>
      <c r="I4" s="22" t="s">
        <v>118</v>
      </c>
      <c r="J4" s="22" t="s">
        <v>119</v>
      </c>
      <c r="K4" s="22" t="s">
        <v>72</v>
      </c>
      <c r="L4" s="22">
        <v>0</v>
      </c>
      <c r="M4" s="53">
        <v>36</v>
      </c>
      <c r="N4" s="53">
        <v>0</v>
      </c>
      <c r="O4" s="64">
        <v>36</v>
      </c>
      <c r="Q4" s="28" t="s">
        <v>55</v>
      </c>
      <c r="R4" s="28" t="s">
        <v>98</v>
      </c>
      <c r="S4" t="s">
        <v>111</v>
      </c>
      <c r="T4" t="s">
        <v>112</v>
      </c>
      <c r="V4" t="str">
        <f>CONCATENATE(Q4," ",R4)</f>
        <v>CONCEPTO DESCRIPCION CONCEPTO</v>
      </c>
    </row>
    <row r="5" spans="1:22" ht="36">
      <c r="A5" s="22">
        <v>1</v>
      </c>
      <c r="B5" s="22" t="str">
        <f t="shared" si="0"/>
        <v>1007874085R000 RETENCION IMPUESTO A LA RENTA</v>
      </c>
      <c r="C5" s="22" t="s">
        <v>12</v>
      </c>
      <c r="D5" s="22" t="s">
        <v>139</v>
      </c>
      <c r="E5" s="22" t="s">
        <v>14</v>
      </c>
      <c r="F5" s="52">
        <v>44348</v>
      </c>
      <c r="G5" s="53">
        <v>3899</v>
      </c>
      <c r="H5" s="68" t="s">
        <v>604</v>
      </c>
      <c r="I5" s="22" t="s">
        <v>113</v>
      </c>
      <c r="J5" s="22" t="s">
        <v>114</v>
      </c>
      <c r="K5" s="22" t="s">
        <v>62</v>
      </c>
      <c r="L5" s="22">
        <v>0</v>
      </c>
      <c r="M5" s="53">
        <v>0</v>
      </c>
      <c r="N5" s="53">
        <v>121.57</v>
      </c>
      <c r="O5" s="23">
        <v>-121.57</v>
      </c>
      <c r="Q5" t="s">
        <v>105</v>
      </c>
      <c r="R5" t="s">
        <v>106</v>
      </c>
      <c r="S5">
        <v>68343.279999999984</v>
      </c>
      <c r="T5">
        <v>0</v>
      </c>
      <c r="V5" t="str">
        <f t="shared" ref="V5:V19" si="1">CONCATENATE(Q5," ",R5)</f>
        <v>A000 SUELDO BASICO</v>
      </c>
    </row>
    <row r="6" spans="1:22" ht="18">
      <c r="A6" s="22">
        <v>1</v>
      </c>
      <c r="B6" s="22" t="str">
        <f t="shared" si="0"/>
        <v>1007874085S006 DESCUENTO EPS</v>
      </c>
      <c r="C6" s="22" t="s">
        <v>12</v>
      </c>
      <c r="D6" s="22" t="s">
        <v>139</v>
      </c>
      <c r="E6" s="22" t="s">
        <v>14</v>
      </c>
      <c r="F6" s="52">
        <v>44348</v>
      </c>
      <c r="G6" s="53">
        <v>3899</v>
      </c>
      <c r="H6" s="68" t="s">
        <v>604</v>
      </c>
      <c r="I6" s="22" t="s">
        <v>128</v>
      </c>
      <c r="J6" s="22" t="s">
        <v>129</v>
      </c>
      <c r="K6" s="22" t="s">
        <v>67</v>
      </c>
      <c r="L6" s="22">
        <v>0</v>
      </c>
      <c r="M6" s="53">
        <v>0</v>
      </c>
      <c r="N6" s="53">
        <v>202.42</v>
      </c>
      <c r="O6" s="23">
        <v>-202.42</v>
      </c>
      <c r="Q6" t="s">
        <v>116</v>
      </c>
      <c r="R6" t="s">
        <v>117</v>
      </c>
      <c r="S6">
        <v>1770.33</v>
      </c>
      <c r="T6">
        <v>0</v>
      </c>
      <c r="V6" t="str">
        <f t="shared" si="1"/>
        <v>A006 SUBVENCION ECONOMICA</v>
      </c>
    </row>
    <row r="7" spans="1:22" ht="36">
      <c r="A7" s="22">
        <v>2</v>
      </c>
      <c r="B7" s="22" t="str">
        <f t="shared" si="0"/>
        <v>1040703418A000 SUELDO BASICO</v>
      </c>
      <c r="C7" s="22" t="s">
        <v>19</v>
      </c>
      <c r="D7" s="22" t="s">
        <v>125</v>
      </c>
      <c r="E7" s="22" t="s">
        <v>21</v>
      </c>
      <c r="F7" s="52">
        <v>42257</v>
      </c>
      <c r="G7" s="53">
        <v>3700</v>
      </c>
      <c r="H7" s="68" t="s">
        <v>604</v>
      </c>
      <c r="I7" s="22" t="s">
        <v>105</v>
      </c>
      <c r="J7" s="22" t="s">
        <v>106</v>
      </c>
      <c r="K7" s="22" t="s">
        <v>61</v>
      </c>
      <c r="L7" s="22">
        <v>216</v>
      </c>
      <c r="M7" s="53">
        <v>3330</v>
      </c>
      <c r="N7" s="53">
        <v>0</v>
      </c>
      <c r="O7" s="64">
        <v>3330</v>
      </c>
      <c r="Q7" t="s">
        <v>120</v>
      </c>
      <c r="R7" t="s">
        <v>121</v>
      </c>
      <c r="S7">
        <v>339</v>
      </c>
      <c r="T7">
        <v>0</v>
      </c>
      <c r="V7" t="str">
        <f t="shared" si="1"/>
        <v>A012 ASIGNACION FAMILIAR</v>
      </c>
    </row>
    <row r="8" spans="1:22" ht="36">
      <c r="A8" s="22">
        <v>2</v>
      </c>
      <c r="B8" s="22" t="str">
        <f t="shared" si="0"/>
        <v>1040703418B100 DESCANSO MEDICO</v>
      </c>
      <c r="C8" s="22" t="s">
        <v>19</v>
      </c>
      <c r="D8" s="22" t="s">
        <v>125</v>
      </c>
      <c r="E8" s="22" t="s">
        <v>21</v>
      </c>
      <c r="F8" s="52">
        <v>42257</v>
      </c>
      <c r="G8" s="53">
        <v>3700</v>
      </c>
      <c r="H8" s="68" t="s">
        <v>604</v>
      </c>
      <c r="I8" s="22" t="s">
        <v>570</v>
      </c>
      <c r="J8" s="22" t="s">
        <v>571</v>
      </c>
      <c r="K8" s="22" t="s">
        <v>573</v>
      </c>
      <c r="L8" s="22">
        <v>24</v>
      </c>
      <c r="M8" s="53">
        <v>370</v>
      </c>
      <c r="N8" s="53">
        <v>0</v>
      </c>
      <c r="O8" s="64">
        <v>370</v>
      </c>
      <c r="Q8" t="s">
        <v>570</v>
      </c>
      <c r="R8" t="s">
        <v>571</v>
      </c>
      <c r="S8">
        <v>370</v>
      </c>
      <c r="T8">
        <v>0</v>
      </c>
      <c r="V8" t="str">
        <f t="shared" si="1"/>
        <v>B100 DESCANSO MEDICO</v>
      </c>
    </row>
    <row r="9" spans="1:22" ht="36">
      <c r="A9" s="22">
        <v>2</v>
      </c>
      <c r="B9" s="22" t="str">
        <f t="shared" si="0"/>
        <v>1040703418D013 AUXILIO DE MOVILIDAD</v>
      </c>
      <c r="C9" s="22" t="s">
        <v>19</v>
      </c>
      <c r="D9" s="22" t="s">
        <v>125</v>
      </c>
      <c r="E9" s="22" t="s">
        <v>21</v>
      </c>
      <c r="F9" s="52">
        <v>42257</v>
      </c>
      <c r="G9" s="53">
        <v>3700</v>
      </c>
      <c r="H9" s="68" t="s">
        <v>604</v>
      </c>
      <c r="I9" s="22" t="s">
        <v>118</v>
      </c>
      <c r="J9" s="22" t="s">
        <v>119</v>
      </c>
      <c r="K9" s="22" t="s">
        <v>72</v>
      </c>
      <c r="L9" s="22">
        <v>0</v>
      </c>
      <c r="M9" s="53">
        <v>24</v>
      </c>
      <c r="N9" s="53">
        <v>0</v>
      </c>
      <c r="O9" s="64">
        <v>24</v>
      </c>
      <c r="Q9" t="s">
        <v>118</v>
      </c>
      <c r="R9" t="s">
        <v>119</v>
      </c>
      <c r="S9">
        <v>412</v>
      </c>
      <c r="T9">
        <v>0</v>
      </c>
      <c r="V9" t="str">
        <f t="shared" si="1"/>
        <v>D013 AUXILIO DE MOVILIDAD</v>
      </c>
    </row>
    <row r="10" spans="1:22" ht="36">
      <c r="A10" s="22">
        <v>2</v>
      </c>
      <c r="B10" s="22" t="str">
        <f t="shared" si="0"/>
        <v>1040703418I100 APORTE OBLIGATORIO AFP</v>
      </c>
      <c r="C10" s="22" t="s">
        <v>19</v>
      </c>
      <c r="D10" s="22" t="s">
        <v>125</v>
      </c>
      <c r="E10" s="22" t="s">
        <v>21</v>
      </c>
      <c r="F10" s="52">
        <v>42257</v>
      </c>
      <c r="G10" s="53">
        <v>3700</v>
      </c>
      <c r="H10" s="68" t="s">
        <v>604</v>
      </c>
      <c r="I10" s="22" t="s">
        <v>107</v>
      </c>
      <c r="J10" s="22" t="s">
        <v>108</v>
      </c>
      <c r="K10" s="22" t="s">
        <v>88</v>
      </c>
      <c r="L10" s="22">
        <v>0</v>
      </c>
      <c r="M10" s="53">
        <v>0</v>
      </c>
      <c r="N10" s="53">
        <v>370</v>
      </c>
      <c r="O10" s="23">
        <v>-370</v>
      </c>
      <c r="Q10" t="s">
        <v>122</v>
      </c>
      <c r="R10" t="s">
        <v>123</v>
      </c>
      <c r="S10">
        <v>13762.720000000001</v>
      </c>
      <c r="T10">
        <v>0</v>
      </c>
      <c r="V10" t="str">
        <f t="shared" si="1"/>
        <v>G006 VACACIONES</v>
      </c>
    </row>
    <row r="11" spans="1:22" ht="36">
      <c r="A11" s="22">
        <v>2</v>
      </c>
      <c r="B11" s="22" t="str">
        <f t="shared" si="0"/>
        <v>1040703418I200 SOBREVIVENCIA AFP</v>
      </c>
      <c r="C11" s="22" t="s">
        <v>19</v>
      </c>
      <c r="D11" s="22" t="s">
        <v>125</v>
      </c>
      <c r="E11" s="22" t="s">
        <v>21</v>
      </c>
      <c r="F11" s="52">
        <v>42257</v>
      </c>
      <c r="G11" s="53">
        <v>3700</v>
      </c>
      <c r="H11" s="68" t="s">
        <v>604</v>
      </c>
      <c r="I11" s="22" t="s">
        <v>109</v>
      </c>
      <c r="J11" s="22" t="s">
        <v>110</v>
      </c>
      <c r="K11" s="22" t="s">
        <v>89</v>
      </c>
      <c r="L11" s="22">
        <v>0</v>
      </c>
      <c r="M11" s="53">
        <v>0</v>
      </c>
      <c r="N11" s="53">
        <v>50.69</v>
      </c>
      <c r="O11" s="23">
        <v>-50.69</v>
      </c>
      <c r="Q11" t="s">
        <v>107</v>
      </c>
      <c r="R11" t="s">
        <v>108</v>
      </c>
      <c r="S11">
        <v>0</v>
      </c>
      <c r="T11">
        <v>8056.1399999999985</v>
      </c>
      <c r="V11" t="str">
        <f t="shared" si="1"/>
        <v>I100 APORTE OBLIGATORIO AFP</v>
      </c>
    </row>
    <row r="12" spans="1:22" ht="36">
      <c r="A12" s="22">
        <v>2</v>
      </c>
      <c r="B12" s="22" t="str">
        <f t="shared" si="0"/>
        <v>1040703418I300 COMISION VARIABLE AFP</v>
      </c>
      <c r="C12" s="22" t="s">
        <v>19</v>
      </c>
      <c r="D12" s="22" t="s">
        <v>125</v>
      </c>
      <c r="E12" s="22" t="s">
        <v>21</v>
      </c>
      <c r="F12" s="52">
        <v>42257</v>
      </c>
      <c r="G12" s="53">
        <v>3700</v>
      </c>
      <c r="H12" s="68" t="s">
        <v>604</v>
      </c>
      <c r="I12" s="22" t="s">
        <v>126</v>
      </c>
      <c r="J12" s="22" t="s">
        <v>127</v>
      </c>
      <c r="K12" s="22" t="s">
        <v>90</v>
      </c>
      <c r="L12" s="22">
        <v>0</v>
      </c>
      <c r="M12" s="53">
        <v>0</v>
      </c>
      <c r="N12" s="53">
        <v>57.35</v>
      </c>
      <c r="O12" s="23">
        <v>-57.35</v>
      </c>
      <c r="Q12" t="s">
        <v>109</v>
      </c>
      <c r="R12" t="s">
        <v>110</v>
      </c>
      <c r="S12">
        <v>0</v>
      </c>
      <c r="T12">
        <v>964.97000000000014</v>
      </c>
      <c r="V12" t="str">
        <f t="shared" si="1"/>
        <v>I200 SOBREVIVENCIA AFP</v>
      </c>
    </row>
    <row r="13" spans="1:22" ht="36">
      <c r="A13" s="22">
        <v>2</v>
      </c>
      <c r="B13" s="22" t="str">
        <f t="shared" si="0"/>
        <v>1040703418R000 RETENCION IMPUESTO A LA RENTA</v>
      </c>
      <c r="C13" s="22" t="s">
        <v>19</v>
      </c>
      <c r="D13" s="22" t="s">
        <v>125</v>
      </c>
      <c r="E13" s="22" t="s">
        <v>21</v>
      </c>
      <c r="F13" s="52">
        <v>42257</v>
      </c>
      <c r="G13" s="53">
        <v>3700</v>
      </c>
      <c r="H13" s="68" t="s">
        <v>604</v>
      </c>
      <c r="I13" s="22" t="s">
        <v>113</v>
      </c>
      <c r="J13" s="22" t="s">
        <v>114</v>
      </c>
      <c r="K13" s="22" t="s">
        <v>62</v>
      </c>
      <c r="L13" s="22">
        <v>0</v>
      </c>
      <c r="M13" s="53">
        <v>0</v>
      </c>
      <c r="N13" s="53">
        <v>93.85</v>
      </c>
      <c r="O13" s="23">
        <v>-93.85</v>
      </c>
      <c r="Q13" t="s">
        <v>126</v>
      </c>
      <c r="R13" t="s">
        <v>127</v>
      </c>
      <c r="S13">
        <v>0</v>
      </c>
      <c r="T13">
        <v>254.68</v>
      </c>
      <c r="V13" t="str">
        <f t="shared" si="1"/>
        <v>I300 COMISION VARIABLE AFP</v>
      </c>
    </row>
    <row r="14" spans="1:22" ht="18">
      <c r="A14" s="22">
        <v>3</v>
      </c>
      <c r="B14" s="22" t="str">
        <f t="shared" si="0"/>
        <v>1044771836A000 SUELDO BASICO</v>
      </c>
      <c r="C14" s="22" t="s">
        <v>22</v>
      </c>
      <c r="D14" s="22" t="s">
        <v>131</v>
      </c>
      <c r="E14" s="22" t="s">
        <v>24</v>
      </c>
      <c r="F14" s="52">
        <v>42506</v>
      </c>
      <c r="G14" s="53">
        <v>8842</v>
      </c>
      <c r="H14" s="68" t="s">
        <v>604</v>
      </c>
      <c r="I14" s="22" t="s">
        <v>105</v>
      </c>
      <c r="J14" s="22" t="s">
        <v>106</v>
      </c>
      <c r="K14" s="22" t="s">
        <v>61</v>
      </c>
      <c r="L14" s="22">
        <v>184</v>
      </c>
      <c r="M14" s="53">
        <v>6778.87</v>
      </c>
      <c r="N14" s="53">
        <v>0</v>
      </c>
      <c r="O14" s="64">
        <v>6778.87</v>
      </c>
      <c r="Q14" t="s">
        <v>113</v>
      </c>
      <c r="R14" t="s">
        <v>114</v>
      </c>
      <c r="S14">
        <v>0</v>
      </c>
      <c r="T14">
        <v>5722.0999999999995</v>
      </c>
      <c r="V14" t="str">
        <f t="shared" si="1"/>
        <v>R000 RETENCION IMPUESTO A LA RENTA</v>
      </c>
    </row>
    <row r="15" spans="1:22" ht="18">
      <c r="A15" s="22">
        <v>3</v>
      </c>
      <c r="B15" s="22" t="str">
        <f t="shared" si="0"/>
        <v>1044771836G006 VACACIONES</v>
      </c>
      <c r="C15" s="22" t="s">
        <v>22</v>
      </c>
      <c r="D15" s="22" t="s">
        <v>131</v>
      </c>
      <c r="E15" s="22" t="s">
        <v>24</v>
      </c>
      <c r="F15" s="52">
        <v>42506</v>
      </c>
      <c r="G15" s="53">
        <v>8842</v>
      </c>
      <c r="H15" s="68" t="s">
        <v>604</v>
      </c>
      <c r="I15" s="22" t="s">
        <v>122</v>
      </c>
      <c r="J15" s="22" t="s">
        <v>123</v>
      </c>
      <c r="K15" s="22" t="s">
        <v>76</v>
      </c>
      <c r="L15" s="22">
        <v>56</v>
      </c>
      <c r="M15" s="53">
        <v>2063.13</v>
      </c>
      <c r="N15" s="53">
        <v>0</v>
      </c>
      <c r="O15" s="64">
        <v>2063.13</v>
      </c>
      <c r="Q15" t="s">
        <v>128</v>
      </c>
      <c r="R15" t="s">
        <v>129</v>
      </c>
      <c r="S15">
        <v>0</v>
      </c>
      <c r="T15">
        <v>202.42</v>
      </c>
      <c r="V15" t="str">
        <f t="shared" si="1"/>
        <v>S006 DESCUENTO EPS</v>
      </c>
    </row>
    <row r="16" spans="1:22" ht="27">
      <c r="A16" s="22">
        <v>3</v>
      </c>
      <c r="B16" s="22" t="str">
        <f t="shared" si="0"/>
        <v>1044771836I100 APORTE OBLIGATORIO AFP</v>
      </c>
      <c r="C16" s="22" t="s">
        <v>22</v>
      </c>
      <c r="D16" s="22" t="s">
        <v>131</v>
      </c>
      <c r="E16" s="22" t="s">
        <v>24</v>
      </c>
      <c r="F16" s="52">
        <v>42506</v>
      </c>
      <c r="G16" s="53">
        <v>8842</v>
      </c>
      <c r="H16" s="68" t="s">
        <v>604</v>
      </c>
      <c r="I16" s="22" t="s">
        <v>107</v>
      </c>
      <c r="J16" s="22" t="s">
        <v>108</v>
      </c>
      <c r="K16" s="22" t="s">
        <v>88</v>
      </c>
      <c r="L16" s="22">
        <v>0</v>
      </c>
      <c r="M16" s="53">
        <v>0</v>
      </c>
      <c r="N16" s="53">
        <v>884.2</v>
      </c>
      <c r="O16" s="23">
        <v>-884.2</v>
      </c>
      <c r="Q16" t="s">
        <v>569</v>
      </c>
      <c r="R16" t="s">
        <v>569</v>
      </c>
      <c r="V16" t="str">
        <f t="shared" si="1"/>
        <v>(en blanco) (en blanco)</v>
      </c>
    </row>
    <row r="17" spans="1:22" ht="27">
      <c r="A17" s="22">
        <v>3</v>
      </c>
      <c r="B17" s="22" t="str">
        <f t="shared" si="0"/>
        <v>1044771836I200 SOBREVIVENCIA AFP</v>
      </c>
      <c r="C17" s="22" t="s">
        <v>22</v>
      </c>
      <c r="D17" s="22" t="s">
        <v>131</v>
      </c>
      <c r="E17" s="22" t="s">
        <v>24</v>
      </c>
      <c r="F17" s="52">
        <v>42506</v>
      </c>
      <c r="G17" s="53">
        <v>8842</v>
      </c>
      <c r="H17" s="68" t="s">
        <v>604</v>
      </c>
      <c r="I17" s="22" t="s">
        <v>109</v>
      </c>
      <c r="J17" s="22" t="s">
        <v>110</v>
      </c>
      <c r="K17" s="22" t="s">
        <v>89</v>
      </c>
      <c r="L17" s="22">
        <v>0</v>
      </c>
      <c r="M17" s="53">
        <v>0</v>
      </c>
      <c r="N17" s="53">
        <v>121.14</v>
      </c>
      <c r="O17" s="23">
        <v>-121.14</v>
      </c>
      <c r="V17" t="str">
        <f t="shared" si="1"/>
        <v xml:space="preserve"> </v>
      </c>
    </row>
    <row r="18" spans="1:22" ht="27">
      <c r="A18" s="22">
        <v>3</v>
      </c>
      <c r="B18" s="22" t="str">
        <f t="shared" si="0"/>
        <v>1044771836I300 COMISION VARIABLE AFP</v>
      </c>
      <c r="C18" s="22" t="s">
        <v>22</v>
      </c>
      <c r="D18" s="22" t="s">
        <v>131</v>
      </c>
      <c r="E18" s="22" t="s">
        <v>24</v>
      </c>
      <c r="F18" s="52">
        <v>42506</v>
      </c>
      <c r="G18" s="53">
        <v>8842</v>
      </c>
      <c r="H18" s="68" t="s">
        <v>604</v>
      </c>
      <c r="I18" s="22" t="s">
        <v>126</v>
      </c>
      <c r="J18" s="22" t="s">
        <v>127</v>
      </c>
      <c r="K18" s="22" t="s">
        <v>90</v>
      </c>
      <c r="L18" s="22">
        <v>0</v>
      </c>
      <c r="M18" s="53">
        <v>0</v>
      </c>
      <c r="N18" s="53">
        <v>149.43</v>
      </c>
      <c r="O18" s="23">
        <v>-149.43</v>
      </c>
      <c r="V18" t="str">
        <f t="shared" si="1"/>
        <v xml:space="preserve"> </v>
      </c>
    </row>
    <row r="19" spans="1:22" ht="36">
      <c r="A19" s="22">
        <v>3</v>
      </c>
      <c r="B19" s="22" t="str">
        <f t="shared" si="0"/>
        <v>1044771836R000 RETENCION IMPUESTO A LA RENTA</v>
      </c>
      <c r="C19" s="22" t="s">
        <v>22</v>
      </c>
      <c r="D19" s="22" t="s">
        <v>131</v>
      </c>
      <c r="E19" s="22" t="s">
        <v>24</v>
      </c>
      <c r="F19" s="52">
        <v>42506</v>
      </c>
      <c r="G19" s="53">
        <v>8842</v>
      </c>
      <c r="H19" s="68" t="s">
        <v>604</v>
      </c>
      <c r="I19" s="22" t="s">
        <v>113</v>
      </c>
      <c r="J19" s="22" t="s">
        <v>114</v>
      </c>
      <c r="K19" s="22" t="s">
        <v>62</v>
      </c>
      <c r="L19" s="22">
        <v>0</v>
      </c>
      <c r="M19" s="53">
        <v>0</v>
      </c>
      <c r="N19" s="53">
        <v>871.57</v>
      </c>
      <c r="O19" s="23">
        <v>-871.57</v>
      </c>
      <c r="V19" t="str">
        <f t="shared" si="1"/>
        <v xml:space="preserve"> </v>
      </c>
    </row>
    <row r="20" spans="1:22" ht="18">
      <c r="A20" s="22">
        <v>4</v>
      </c>
      <c r="B20" s="22" t="str">
        <f t="shared" si="0"/>
        <v>1045191394A000 SUELDO BASICO</v>
      </c>
      <c r="C20" s="22" t="s">
        <v>29</v>
      </c>
      <c r="D20" s="22" t="s">
        <v>104</v>
      </c>
      <c r="E20" s="22" t="s">
        <v>31</v>
      </c>
      <c r="F20" s="52">
        <v>42989</v>
      </c>
      <c r="G20" s="53">
        <v>14615</v>
      </c>
      <c r="H20" s="68" t="s">
        <v>604</v>
      </c>
      <c r="I20" s="22" t="s">
        <v>105</v>
      </c>
      <c r="J20" s="22" t="s">
        <v>106</v>
      </c>
      <c r="K20" s="22" t="s">
        <v>61</v>
      </c>
      <c r="L20" s="22">
        <v>240</v>
      </c>
      <c r="M20" s="53">
        <v>14615</v>
      </c>
      <c r="N20" s="53">
        <v>0</v>
      </c>
      <c r="O20" s="64">
        <v>14615</v>
      </c>
    </row>
    <row r="21" spans="1:22" ht="27">
      <c r="A21" s="22">
        <v>4</v>
      </c>
      <c r="B21" s="22" t="str">
        <f t="shared" si="0"/>
        <v>1045191394I100 APORTE OBLIGATORIO AFP</v>
      </c>
      <c r="C21" s="22" t="s">
        <v>29</v>
      </c>
      <c r="D21" s="22" t="s">
        <v>104</v>
      </c>
      <c r="E21" s="22" t="s">
        <v>31</v>
      </c>
      <c r="F21" s="52">
        <v>42989</v>
      </c>
      <c r="G21" s="53">
        <v>14615</v>
      </c>
      <c r="H21" s="68" t="s">
        <v>604</v>
      </c>
      <c r="I21" s="22" t="s">
        <v>107</v>
      </c>
      <c r="J21" s="22" t="s">
        <v>108</v>
      </c>
      <c r="K21" s="22" t="s">
        <v>88</v>
      </c>
      <c r="L21" s="22">
        <v>0</v>
      </c>
      <c r="M21" s="53">
        <v>0</v>
      </c>
      <c r="N21" s="53">
        <v>1461.5</v>
      </c>
      <c r="O21" s="23">
        <v>-1461.5</v>
      </c>
    </row>
    <row r="22" spans="1:22" ht="27">
      <c r="A22" s="22">
        <v>4</v>
      </c>
      <c r="B22" s="22" t="str">
        <f t="shared" si="0"/>
        <v>1045191394I200 SOBREVIVENCIA AFP</v>
      </c>
      <c r="C22" s="22" t="s">
        <v>29</v>
      </c>
      <c r="D22" s="22" t="s">
        <v>104</v>
      </c>
      <c r="E22" s="22" t="s">
        <v>31</v>
      </c>
      <c r="F22" s="52">
        <v>42989</v>
      </c>
      <c r="G22" s="53">
        <v>14615</v>
      </c>
      <c r="H22" s="68" t="s">
        <v>604</v>
      </c>
      <c r="I22" s="22" t="s">
        <v>109</v>
      </c>
      <c r="J22" s="22" t="s">
        <v>110</v>
      </c>
      <c r="K22" s="22" t="s">
        <v>89</v>
      </c>
      <c r="L22" s="22">
        <v>0</v>
      </c>
      <c r="M22" s="53">
        <v>0</v>
      </c>
      <c r="N22" s="53">
        <v>172.61</v>
      </c>
      <c r="O22" s="23">
        <v>-172.61</v>
      </c>
    </row>
    <row r="23" spans="1:22" ht="36">
      <c r="A23" s="22">
        <v>4</v>
      </c>
      <c r="B23" s="22" t="str">
        <f t="shared" si="0"/>
        <v>1045191394R000 RETENCION IMPUESTO A LA RENTA</v>
      </c>
      <c r="C23" s="22" t="s">
        <v>29</v>
      </c>
      <c r="D23" s="22" t="s">
        <v>104</v>
      </c>
      <c r="E23" s="22" t="s">
        <v>31</v>
      </c>
      <c r="F23" s="52">
        <v>42989</v>
      </c>
      <c r="G23" s="53">
        <v>14615</v>
      </c>
      <c r="H23" s="68" t="s">
        <v>604</v>
      </c>
      <c r="I23" s="22" t="s">
        <v>113</v>
      </c>
      <c r="J23" s="22" t="s">
        <v>114</v>
      </c>
      <c r="K23" s="22" t="s">
        <v>62</v>
      </c>
      <c r="L23" s="22">
        <v>0</v>
      </c>
      <c r="M23" s="53">
        <v>0</v>
      </c>
      <c r="N23" s="53">
        <v>1972.88</v>
      </c>
      <c r="O23" s="23">
        <v>-1972.88</v>
      </c>
    </row>
    <row r="24" spans="1:22" ht="18">
      <c r="A24" s="22">
        <v>5</v>
      </c>
      <c r="B24" s="22" t="str">
        <f t="shared" si="0"/>
        <v>1046129072A000 SUELDO BASICO</v>
      </c>
      <c r="C24" s="22" t="s">
        <v>32</v>
      </c>
      <c r="D24" s="22" t="s">
        <v>135</v>
      </c>
      <c r="E24" s="22" t="s">
        <v>34</v>
      </c>
      <c r="F24" s="52">
        <v>42765</v>
      </c>
      <c r="G24" s="53">
        <v>3871</v>
      </c>
      <c r="H24" s="68" t="s">
        <v>604</v>
      </c>
      <c r="I24" s="22" t="s">
        <v>105</v>
      </c>
      <c r="J24" s="22" t="s">
        <v>106</v>
      </c>
      <c r="K24" s="22" t="s">
        <v>61</v>
      </c>
      <c r="L24" s="22">
        <v>184</v>
      </c>
      <c r="M24" s="53">
        <v>2967.77</v>
      </c>
      <c r="N24" s="53">
        <v>0</v>
      </c>
      <c r="O24" s="64">
        <v>2967.77</v>
      </c>
    </row>
    <row r="25" spans="1:22" ht="27">
      <c r="A25" s="22">
        <v>5</v>
      </c>
      <c r="B25" s="22" t="str">
        <f t="shared" si="0"/>
        <v>1046129072D013 AUXILIO DE MOVILIDAD</v>
      </c>
      <c r="C25" s="22" t="s">
        <v>32</v>
      </c>
      <c r="D25" s="22" t="s">
        <v>135</v>
      </c>
      <c r="E25" s="22" t="s">
        <v>34</v>
      </c>
      <c r="F25" s="52">
        <v>42765</v>
      </c>
      <c r="G25" s="53">
        <v>3871</v>
      </c>
      <c r="H25" s="68" t="s">
        <v>604</v>
      </c>
      <c r="I25" s="22" t="s">
        <v>118</v>
      </c>
      <c r="J25" s="22" t="s">
        <v>119</v>
      </c>
      <c r="K25" s="22" t="s">
        <v>72</v>
      </c>
      <c r="L25" s="22">
        <v>0</v>
      </c>
      <c r="M25" s="53">
        <v>36</v>
      </c>
      <c r="N25" s="53">
        <v>0</v>
      </c>
      <c r="O25" s="64">
        <v>36</v>
      </c>
    </row>
    <row r="26" spans="1:22" ht="18">
      <c r="A26" s="22">
        <v>5</v>
      </c>
      <c r="B26" s="22" t="str">
        <f t="shared" si="0"/>
        <v>1046129072G006 VACACIONES</v>
      </c>
      <c r="C26" s="22" t="s">
        <v>32</v>
      </c>
      <c r="D26" s="22" t="s">
        <v>135</v>
      </c>
      <c r="E26" s="22" t="s">
        <v>34</v>
      </c>
      <c r="F26" s="52">
        <v>42765</v>
      </c>
      <c r="G26" s="53">
        <v>3871</v>
      </c>
      <c r="H26" s="68" t="s">
        <v>604</v>
      </c>
      <c r="I26" s="22" t="s">
        <v>122</v>
      </c>
      <c r="J26" s="22" t="s">
        <v>123</v>
      </c>
      <c r="K26" s="22" t="s">
        <v>76</v>
      </c>
      <c r="L26" s="22">
        <v>56</v>
      </c>
      <c r="M26" s="53">
        <v>903.23</v>
      </c>
      <c r="N26" s="53">
        <v>0</v>
      </c>
      <c r="O26" s="64">
        <v>903.23</v>
      </c>
    </row>
    <row r="27" spans="1:22" ht="27">
      <c r="A27" s="22">
        <v>5</v>
      </c>
      <c r="B27" s="22" t="str">
        <f t="shared" si="0"/>
        <v>1046129072I100 APORTE OBLIGATORIO AFP</v>
      </c>
      <c r="C27" s="22" t="s">
        <v>32</v>
      </c>
      <c r="D27" s="22" t="s">
        <v>135</v>
      </c>
      <c r="E27" s="22" t="s">
        <v>34</v>
      </c>
      <c r="F27" s="52">
        <v>42765</v>
      </c>
      <c r="G27" s="53">
        <v>3871</v>
      </c>
      <c r="H27" s="68" t="s">
        <v>604</v>
      </c>
      <c r="I27" s="22" t="s">
        <v>107</v>
      </c>
      <c r="J27" s="22" t="s">
        <v>108</v>
      </c>
      <c r="K27" s="22" t="s">
        <v>88</v>
      </c>
      <c r="L27" s="22">
        <v>0</v>
      </c>
      <c r="M27" s="53">
        <v>0</v>
      </c>
      <c r="N27" s="53">
        <v>387.1</v>
      </c>
      <c r="O27" s="23">
        <v>-387.1</v>
      </c>
    </row>
    <row r="28" spans="1:22" ht="27">
      <c r="A28" s="22">
        <v>5</v>
      </c>
      <c r="B28" s="22" t="str">
        <f t="shared" si="0"/>
        <v>1046129072I200 SOBREVIVENCIA AFP</v>
      </c>
      <c r="C28" s="22" t="s">
        <v>32</v>
      </c>
      <c r="D28" s="22" t="s">
        <v>135</v>
      </c>
      <c r="E28" s="22" t="s">
        <v>34</v>
      </c>
      <c r="F28" s="52">
        <v>42765</v>
      </c>
      <c r="G28" s="53">
        <v>3871</v>
      </c>
      <c r="H28" s="68" t="s">
        <v>604</v>
      </c>
      <c r="I28" s="22" t="s">
        <v>109</v>
      </c>
      <c r="J28" s="22" t="s">
        <v>110</v>
      </c>
      <c r="K28" s="22" t="s">
        <v>89</v>
      </c>
      <c r="L28" s="22">
        <v>0</v>
      </c>
      <c r="M28" s="53">
        <v>0</v>
      </c>
      <c r="N28" s="53">
        <v>53.03</v>
      </c>
      <c r="O28" s="23">
        <v>-53.03</v>
      </c>
    </row>
    <row r="29" spans="1:22" ht="36">
      <c r="A29" s="22">
        <v>5</v>
      </c>
      <c r="B29" s="22" t="str">
        <f t="shared" si="0"/>
        <v>1046129072R000 RETENCION IMPUESTO A LA RENTA</v>
      </c>
      <c r="C29" s="22" t="s">
        <v>32</v>
      </c>
      <c r="D29" s="22" t="s">
        <v>135</v>
      </c>
      <c r="E29" s="22" t="s">
        <v>34</v>
      </c>
      <c r="F29" s="52">
        <v>42765</v>
      </c>
      <c r="G29" s="53">
        <v>3871</v>
      </c>
      <c r="H29" s="68" t="s">
        <v>604</v>
      </c>
      <c r="I29" s="22" t="s">
        <v>113</v>
      </c>
      <c r="J29" s="22" t="s">
        <v>114</v>
      </c>
      <c r="K29" s="22" t="s">
        <v>62</v>
      </c>
      <c r="L29" s="22">
        <v>0</v>
      </c>
      <c r="M29" s="53">
        <v>0</v>
      </c>
      <c r="N29" s="53">
        <v>109.98</v>
      </c>
      <c r="O29" s="23">
        <v>-109.98</v>
      </c>
    </row>
    <row r="30" spans="1:22" ht="18">
      <c r="A30" s="22">
        <v>6</v>
      </c>
      <c r="B30" s="22" t="str">
        <f t="shared" si="0"/>
        <v>1046722547A000 SUELDO BASICO</v>
      </c>
      <c r="C30" s="22" t="s">
        <v>40</v>
      </c>
      <c r="D30" s="22" t="s">
        <v>134</v>
      </c>
      <c r="E30" s="22" t="s">
        <v>42</v>
      </c>
      <c r="F30" s="52">
        <v>44151</v>
      </c>
      <c r="G30" s="53">
        <v>5733</v>
      </c>
      <c r="H30" s="68" t="s">
        <v>604</v>
      </c>
      <c r="I30" s="22" t="s">
        <v>105</v>
      </c>
      <c r="J30" s="22" t="s">
        <v>106</v>
      </c>
      <c r="K30" s="22" t="s">
        <v>61</v>
      </c>
      <c r="L30" s="22">
        <v>128</v>
      </c>
      <c r="M30" s="53">
        <v>3057.6</v>
      </c>
      <c r="N30" s="53">
        <v>0</v>
      </c>
      <c r="O30" s="64">
        <v>3057.6</v>
      </c>
    </row>
    <row r="31" spans="1:22" ht="18">
      <c r="A31" s="22">
        <v>6</v>
      </c>
      <c r="B31" s="22" t="str">
        <f t="shared" si="0"/>
        <v>1046722547G006 VACACIONES</v>
      </c>
      <c r="C31" s="22" t="s">
        <v>40</v>
      </c>
      <c r="D31" s="22" t="s">
        <v>134</v>
      </c>
      <c r="E31" s="22" t="s">
        <v>42</v>
      </c>
      <c r="F31" s="52">
        <v>44151</v>
      </c>
      <c r="G31" s="53">
        <v>5733</v>
      </c>
      <c r="H31" s="68" t="s">
        <v>604</v>
      </c>
      <c r="I31" s="22" t="s">
        <v>122</v>
      </c>
      <c r="J31" s="22" t="s">
        <v>123</v>
      </c>
      <c r="K31" s="22" t="s">
        <v>76</v>
      </c>
      <c r="L31" s="22">
        <v>112</v>
      </c>
      <c r="M31" s="53">
        <v>2675.4</v>
      </c>
      <c r="N31" s="53">
        <v>0</v>
      </c>
      <c r="O31" s="64">
        <v>2675.4</v>
      </c>
    </row>
    <row r="32" spans="1:22" ht="27">
      <c r="A32" s="22">
        <v>6</v>
      </c>
      <c r="B32" s="22" t="str">
        <f t="shared" si="0"/>
        <v>1046722547I100 APORTE OBLIGATORIO AFP</v>
      </c>
      <c r="C32" s="22" t="s">
        <v>40</v>
      </c>
      <c r="D32" s="22" t="s">
        <v>134</v>
      </c>
      <c r="E32" s="22" t="s">
        <v>42</v>
      </c>
      <c r="F32" s="52">
        <v>44151</v>
      </c>
      <c r="G32" s="53">
        <v>5733</v>
      </c>
      <c r="H32" s="68" t="s">
        <v>604</v>
      </c>
      <c r="I32" s="22" t="s">
        <v>107</v>
      </c>
      <c r="J32" s="22" t="s">
        <v>108</v>
      </c>
      <c r="K32" s="22" t="s">
        <v>88</v>
      </c>
      <c r="L32" s="22">
        <v>0</v>
      </c>
      <c r="M32" s="53">
        <v>0</v>
      </c>
      <c r="N32" s="53">
        <v>573.29999999999995</v>
      </c>
      <c r="O32" s="23">
        <v>-573.29999999999995</v>
      </c>
    </row>
    <row r="33" spans="1:15" ht="27">
      <c r="A33" s="22">
        <v>6</v>
      </c>
      <c r="B33" s="22" t="str">
        <f t="shared" si="0"/>
        <v>1046722547I200 SOBREVIVENCIA AFP</v>
      </c>
      <c r="C33" s="22" t="s">
        <v>40</v>
      </c>
      <c r="D33" s="22" t="s">
        <v>134</v>
      </c>
      <c r="E33" s="22" t="s">
        <v>42</v>
      </c>
      <c r="F33" s="52">
        <v>44151</v>
      </c>
      <c r="G33" s="53">
        <v>5733</v>
      </c>
      <c r="H33" s="68" t="s">
        <v>604</v>
      </c>
      <c r="I33" s="22" t="s">
        <v>109</v>
      </c>
      <c r="J33" s="22" t="s">
        <v>110</v>
      </c>
      <c r="K33" s="22" t="s">
        <v>89</v>
      </c>
      <c r="L33" s="22">
        <v>0</v>
      </c>
      <c r="M33" s="53">
        <v>0</v>
      </c>
      <c r="N33" s="53">
        <v>78.540000000000006</v>
      </c>
      <c r="O33" s="23">
        <v>-78.540000000000006</v>
      </c>
    </row>
    <row r="34" spans="1:15" ht="36">
      <c r="A34" s="22">
        <v>6</v>
      </c>
      <c r="B34" s="22" t="str">
        <f t="shared" si="0"/>
        <v>1046722547R000 RETENCION IMPUESTO A LA RENTA</v>
      </c>
      <c r="C34" s="22" t="s">
        <v>40</v>
      </c>
      <c r="D34" s="22" t="s">
        <v>134</v>
      </c>
      <c r="E34" s="22" t="s">
        <v>42</v>
      </c>
      <c r="F34" s="52">
        <v>44151</v>
      </c>
      <c r="G34" s="53">
        <v>5733</v>
      </c>
      <c r="H34" s="68" t="s">
        <v>604</v>
      </c>
      <c r="I34" s="22" t="s">
        <v>113</v>
      </c>
      <c r="J34" s="22" t="s">
        <v>114</v>
      </c>
      <c r="K34" s="22" t="s">
        <v>62</v>
      </c>
      <c r="L34" s="22">
        <v>0</v>
      </c>
      <c r="M34" s="53">
        <v>0</v>
      </c>
      <c r="N34" s="53">
        <v>363.08</v>
      </c>
      <c r="O34" s="23">
        <v>-363.08</v>
      </c>
    </row>
    <row r="35" spans="1:15" ht="18">
      <c r="A35" s="22">
        <v>7</v>
      </c>
      <c r="B35" s="22" t="str">
        <f t="shared" si="0"/>
        <v>1047924040A000 SUELDO BASICO</v>
      </c>
      <c r="C35" s="22" t="s">
        <v>44</v>
      </c>
      <c r="D35" s="22" t="s">
        <v>138</v>
      </c>
      <c r="E35" s="22" t="s">
        <v>46</v>
      </c>
      <c r="F35" s="52">
        <v>42632</v>
      </c>
      <c r="G35" s="53">
        <v>6552</v>
      </c>
      <c r="H35" s="68" t="s">
        <v>604</v>
      </c>
      <c r="I35" s="22" t="s">
        <v>105</v>
      </c>
      <c r="J35" s="22" t="s">
        <v>106</v>
      </c>
      <c r="K35" s="22" t="s">
        <v>61</v>
      </c>
      <c r="L35" s="22">
        <v>144</v>
      </c>
      <c r="M35" s="53">
        <v>3931.2</v>
      </c>
      <c r="N35" s="53">
        <v>0</v>
      </c>
      <c r="O35" s="64">
        <v>3931.2</v>
      </c>
    </row>
    <row r="36" spans="1:15" ht="27">
      <c r="A36" s="22">
        <v>7</v>
      </c>
      <c r="B36" s="22" t="str">
        <f t="shared" si="0"/>
        <v>1047924040D013 AUXILIO DE MOVILIDAD</v>
      </c>
      <c r="C36" s="22" t="s">
        <v>44</v>
      </c>
      <c r="D36" s="22" t="s">
        <v>138</v>
      </c>
      <c r="E36" s="22" t="s">
        <v>46</v>
      </c>
      <c r="F36" s="52">
        <v>42632</v>
      </c>
      <c r="G36" s="53">
        <v>6552</v>
      </c>
      <c r="H36" s="68" t="s">
        <v>604</v>
      </c>
      <c r="I36" s="22" t="s">
        <v>118</v>
      </c>
      <c r="J36" s="22" t="s">
        <v>119</v>
      </c>
      <c r="K36" s="22" t="s">
        <v>72</v>
      </c>
      <c r="L36" s="22">
        <v>0</v>
      </c>
      <c r="M36" s="53">
        <v>36</v>
      </c>
      <c r="N36" s="53">
        <v>0</v>
      </c>
      <c r="O36" s="64">
        <v>36</v>
      </c>
    </row>
    <row r="37" spans="1:15" ht="18">
      <c r="A37" s="22">
        <v>7</v>
      </c>
      <c r="B37" s="22" t="str">
        <f t="shared" si="0"/>
        <v>1047924040G006 VACACIONES</v>
      </c>
      <c r="C37" s="22" t="s">
        <v>44</v>
      </c>
      <c r="D37" s="22" t="s">
        <v>138</v>
      </c>
      <c r="E37" s="22" t="s">
        <v>46</v>
      </c>
      <c r="F37" s="52">
        <v>42632</v>
      </c>
      <c r="G37" s="53">
        <v>6552</v>
      </c>
      <c r="H37" s="68" t="s">
        <v>604</v>
      </c>
      <c r="I37" s="22" t="s">
        <v>122</v>
      </c>
      <c r="J37" s="22" t="s">
        <v>123</v>
      </c>
      <c r="K37" s="22" t="s">
        <v>76</v>
      </c>
      <c r="L37" s="22">
        <v>96</v>
      </c>
      <c r="M37" s="53">
        <v>2620.8000000000002</v>
      </c>
      <c r="N37" s="53">
        <v>0</v>
      </c>
      <c r="O37" s="64">
        <v>2620.8000000000002</v>
      </c>
    </row>
    <row r="38" spans="1:15" ht="27">
      <c r="A38" s="22">
        <v>7</v>
      </c>
      <c r="B38" s="22" t="str">
        <f t="shared" si="0"/>
        <v>1047924040I100 APORTE OBLIGATORIO AFP</v>
      </c>
      <c r="C38" s="22" t="s">
        <v>44</v>
      </c>
      <c r="D38" s="22" t="s">
        <v>138</v>
      </c>
      <c r="E38" s="22" t="s">
        <v>46</v>
      </c>
      <c r="F38" s="52">
        <v>42632</v>
      </c>
      <c r="G38" s="53">
        <v>6552</v>
      </c>
      <c r="H38" s="68" t="s">
        <v>604</v>
      </c>
      <c r="I38" s="22" t="s">
        <v>107</v>
      </c>
      <c r="J38" s="22" t="s">
        <v>108</v>
      </c>
      <c r="K38" s="22" t="s">
        <v>88</v>
      </c>
      <c r="L38" s="22">
        <v>0</v>
      </c>
      <c r="M38" s="53">
        <v>0</v>
      </c>
      <c r="N38" s="53">
        <v>655.20000000000005</v>
      </c>
      <c r="O38" s="23">
        <v>-655.20000000000005</v>
      </c>
    </row>
    <row r="39" spans="1:15" ht="27">
      <c r="A39" s="22">
        <v>7</v>
      </c>
      <c r="B39" s="22" t="str">
        <f t="shared" si="0"/>
        <v>1047924040I200 SOBREVIVENCIA AFP</v>
      </c>
      <c r="C39" s="22" t="s">
        <v>44</v>
      </c>
      <c r="D39" s="22" t="s">
        <v>138</v>
      </c>
      <c r="E39" s="22" t="s">
        <v>46</v>
      </c>
      <c r="F39" s="52">
        <v>42632</v>
      </c>
      <c r="G39" s="53">
        <v>6552</v>
      </c>
      <c r="H39" s="68" t="s">
        <v>604</v>
      </c>
      <c r="I39" s="22" t="s">
        <v>109</v>
      </c>
      <c r="J39" s="22" t="s">
        <v>110</v>
      </c>
      <c r="K39" s="22" t="s">
        <v>89</v>
      </c>
      <c r="L39" s="22">
        <v>0</v>
      </c>
      <c r="M39" s="53">
        <v>0</v>
      </c>
      <c r="N39" s="53">
        <v>89.76</v>
      </c>
      <c r="O39" s="23">
        <v>-89.76</v>
      </c>
    </row>
    <row r="40" spans="1:15" ht="36">
      <c r="A40" s="22">
        <v>7</v>
      </c>
      <c r="B40" s="22" t="str">
        <f t="shared" si="0"/>
        <v>1047924040R000 RETENCION IMPUESTO A LA RENTA</v>
      </c>
      <c r="C40" s="22" t="s">
        <v>44</v>
      </c>
      <c r="D40" s="22" t="s">
        <v>138</v>
      </c>
      <c r="E40" s="22" t="s">
        <v>46</v>
      </c>
      <c r="F40" s="52">
        <v>42632</v>
      </c>
      <c r="G40" s="53">
        <v>6552</v>
      </c>
      <c r="H40" s="68" t="s">
        <v>604</v>
      </c>
      <c r="I40" s="22" t="s">
        <v>113</v>
      </c>
      <c r="J40" s="22" t="s">
        <v>114</v>
      </c>
      <c r="K40" s="22" t="s">
        <v>62</v>
      </c>
      <c r="L40" s="22">
        <v>0</v>
      </c>
      <c r="M40" s="53">
        <v>0</v>
      </c>
      <c r="N40" s="53">
        <v>501.01</v>
      </c>
      <c r="O40" s="23">
        <v>-501.01</v>
      </c>
    </row>
    <row r="41" spans="1:15" ht="27">
      <c r="A41" s="22">
        <v>8</v>
      </c>
      <c r="B41" s="22" t="str">
        <f t="shared" si="0"/>
        <v>1070165336A000 SUELDO BASICO</v>
      </c>
      <c r="C41" s="22" t="s">
        <v>47</v>
      </c>
      <c r="D41" s="22" t="s">
        <v>130</v>
      </c>
      <c r="E41" s="22" t="s">
        <v>49</v>
      </c>
      <c r="F41" s="52">
        <v>44623</v>
      </c>
      <c r="G41" s="53">
        <v>4099</v>
      </c>
      <c r="H41" s="68" t="s">
        <v>604</v>
      </c>
      <c r="I41" s="22" t="s">
        <v>105</v>
      </c>
      <c r="J41" s="22" t="s">
        <v>106</v>
      </c>
      <c r="K41" s="22" t="s">
        <v>61</v>
      </c>
      <c r="L41" s="22">
        <v>184</v>
      </c>
      <c r="M41" s="53">
        <v>3142.57</v>
      </c>
      <c r="N41" s="53">
        <v>0</v>
      </c>
      <c r="O41" s="64">
        <v>3142.57</v>
      </c>
    </row>
    <row r="42" spans="1:15" ht="27">
      <c r="A42" s="22">
        <v>8</v>
      </c>
      <c r="B42" s="22" t="str">
        <f t="shared" si="0"/>
        <v>1070165336D013 AUXILIO DE MOVILIDAD</v>
      </c>
      <c r="C42" s="22" t="s">
        <v>47</v>
      </c>
      <c r="D42" s="22" t="s">
        <v>130</v>
      </c>
      <c r="E42" s="22" t="s">
        <v>49</v>
      </c>
      <c r="F42" s="52">
        <v>44623</v>
      </c>
      <c r="G42" s="53">
        <v>4099</v>
      </c>
      <c r="H42" s="68" t="s">
        <v>604</v>
      </c>
      <c r="I42" s="22" t="s">
        <v>118</v>
      </c>
      <c r="J42" s="22" t="s">
        <v>119</v>
      </c>
      <c r="K42" s="22" t="s">
        <v>72</v>
      </c>
      <c r="L42" s="22">
        <v>0</v>
      </c>
      <c r="M42" s="53">
        <v>36</v>
      </c>
      <c r="N42" s="53">
        <v>0</v>
      </c>
      <c r="O42" s="64">
        <v>36</v>
      </c>
    </row>
    <row r="43" spans="1:15" ht="27">
      <c r="A43" s="22">
        <v>8</v>
      </c>
      <c r="B43" s="22" t="str">
        <f t="shared" si="0"/>
        <v>1070165336G006 VACACIONES</v>
      </c>
      <c r="C43" s="22" t="s">
        <v>47</v>
      </c>
      <c r="D43" s="22" t="s">
        <v>130</v>
      </c>
      <c r="E43" s="22" t="s">
        <v>49</v>
      </c>
      <c r="F43" s="52">
        <v>44623</v>
      </c>
      <c r="G43" s="53">
        <v>4099</v>
      </c>
      <c r="H43" s="68" t="s">
        <v>604</v>
      </c>
      <c r="I43" s="22" t="s">
        <v>122</v>
      </c>
      <c r="J43" s="22" t="s">
        <v>123</v>
      </c>
      <c r="K43" s="22" t="s">
        <v>76</v>
      </c>
      <c r="L43" s="22">
        <v>56</v>
      </c>
      <c r="M43" s="53">
        <v>956.43</v>
      </c>
      <c r="N43" s="53">
        <v>0</v>
      </c>
      <c r="O43" s="64">
        <v>956.43</v>
      </c>
    </row>
    <row r="44" spans="1:15" ht="27">
      <c r="A44" s="22">
        <v>8</v>
      </c>
      <c r="B44" s="22" t="str">
        <f t="shared" si="0"/>
        <v>1070165336I100 APORTE OBLIGATORIO AFP</v>
      </c>
      <c r="C44" s="22" t="s">
        <v>47</v>
      </c>
      <c r="D44" s="22" t="s">
        <v>130</v>
      </c>
      <c r="E44" s="22" t="s">
        <v>49</v>
      </c>
      <c r="F44" s="52">
        <v>44623</v>
      </c>
      <c r="G44" s="53">
        <v>4099</v>
      </c>
      <c r="H44" s="68" t="s">
        <v>604</v>
      </c>
      <c r="I44" s="22" t="s">
        <v>107</v>
      </c>
      <c r="J44" s="22" t="s">
        <v>108</v>
      </c>
      <c r="K44" s="22" t="s">
        <v>88</v>
      </c>
      <c r="L44" s="22">
        <v>0</v>
      </c>
      <c r="M44" s="53">
        <v>0</v>
      </c>
      <c r="N44" s="53">
        <v>409.9</v>
      </c>
      <c r="O44" s="23">
        <v>-409.9</v>
      </c>
    </row>
    <row r="45" spans="1:15" ht="27">
      <c r="A45" s="22">
        <v>8</v>
      </c>
      <c r="B45" s="22" t="str">
        <f t="shared" si="0"/>
        <v>1070165336I200 SOBREVIVENCIA AFP</v>
      </c>
      <c r="C45" s="22" t="s">
        <v>47</v>
      </c>
      <c r="D45" s="22" t="s">
        <v>130</v>
      </c>
      <c r="E45" s="22" t="s">
        <v>49</v>
      </c>
      <c r="F45" s="52">
        <v>44623</v>
      </c>
      <c r="G45" s="53">
        <v>4099</v>
      </c>
      <c r="H45" s="68" t="s">
        <v>604</v>
      </c>
      <c r="I45" s="22" t="s">
        <v>109</v>
      </c>
      <c r="J45" s="22" t="s">
        <v>110</v>
      </c>
      <c r="K45" s="22" t="s">
        <v>89</v>
      </c>
      <c r="L45" s="22">
        <v>0</v>
      </c>
      <c r="M45" s="53">
        <v>0</v>
      </c>
      <c r="N45" s="53">
        <v>56.16</v>
      </c>
      <c r="O45" s="23">
        <v>-56.16</v>
      </c>
    </row>
    <row r="46" spans="1:15" ht="36">
      <c r="A46" s="22">
        <v>8</v>
      </c>
      <c r="B46" s="22" t="str">
        <f t="shared" si="0"/>
        <v>1070165336R000 RETENCION IMPUESTO A LA RENTA</v>
      </c>
      <c r="C46" s="22" t="s">
        <v>47</v>
      </c>
      <c r="D46" s="22" t="s">
        <v>130</v>
      </c>
      <c r="E46" s="22" t="s">
        <v>49</v>
      </c>
      <c r="F46" s="52">
        <v>44623</v>
      </c>
      <c r="G46" s="53">
        <v>4099</v>
      </c>
      <c r="H46" s="68" t="s">
        <v>604</v>
      </c>
      <c r="I46" s="22" t="s">
        <v>113</v>
      </c>
      <c r="J46" s="22" t="s">
        <v>114</v>
      </c>
      <c r="K46" s="22" t="s">
        <v>62</v>
      </c>
      <c r="L46" s="22">
        <v>0</v>
      </c>
      <c r="M46" s="53">
        <v>0</v>
      </c>
      <c r="N46" s="53">
        <v>131.63</v>
      </c>
      <c r="O46" s="23">
        <v>-131.63</v>
      </c>
    </row>
    <row r="47" spans="1:15" ht="18">
      <c r="A47" s="22">
        <v>9</v>
      </c>
      <c r="B47" s="22" t="str">
        <f t="shared" si="0"/>
        <v>1070680748A000 SUELDO BASICO</v>
      </c>
      <c r="C47" s="22" t="s">
        <v>53</v>
      </c>
      <c r="D47" s="22" t="s">
        <v>140</v>
      </c>
      <c r="E47" s="22" t="s">
        <v>54</v>
      </c>
      <c r="F47" s="52">
        <v>44879</v>
      </c>
      <c r="G47" s="53">
        <v>6125</v>
      </c>
      <c r="H47" s="68" t="s">
        <v>604</v>
      </c>
      <c r="I47" s="22" t="s">
        <v>105</v>
      </c>
      <c r="J47" s="22" t="s">
        <v>106</v>
      </c>
      <c r="K47" s="22" t="s">
        <v>61</v>
      </c>
      <c r="L47" s="22">
        <v>152</v>
      </c>
      <c r="M47" s="53">
        <v>3879.17</v>
      </c>
      <c r="N47" s="53">
        <v>0</v>
      </c>
      <c r="O47" s="64">
        <v>3879.17</v>
      </c>
    </row>
    <row r="48" spans="1:15" ht="27">
      <c r="A48" s="22">
        <v>9</v>
      </c>
      <c r="B48" s="22" t="str">
        <f t="shared" si="0"/>
        <v>1070680748A012 ASIGNACION FAMILIAR</v>
      </c>
      <c r="C48" s="22" t="s">
        <v>53</v>
      </c>
      <c r="D48" s="22" t="s">
        <v>140</v>
      </c>
      <c r="E48" s="22" t="s">
        <v>54</v>
      </c>
      <c r="F48" s="52">
        <v>44879</v>
      </c>
      <c r="G48" s="53">
        <v>6125</v>
      </c>
      <c r="H48" s="68" t="s">
        <v>604</v>
      </c>
      <c r="I48" s="22" t="s">
        <v>120</v>
      </c>
      <c r="J48" s="22" t="s">
        <v>121</v>
      </c>
      <c r="K48" s="22" t="s">
        <v>66</v>
      </c>
      <c r="L48" s="22">
        <v>0</v>
      </c>
      <c r="M48" s="53">
        <v>113</v>
      </c>
      <c r="N48" s="53">
        <v>0</v>
      </c>
      <c r="O48" s="64">
        <v>113</v>
      </c>
    </row>
    <row r="49" spans="1:15" ht="18">
      <c r="A49" s="22">
        <v>9</v>
      </c>
      <c r="B49" s="22" t="str">
        <f t="shared" si="0"/>
        <v>1070680748G006 VACACIONES</v>
      </c>
      <c r="C49" s="22" t="s">
        <v>53</v>
      </c>
      <c r="D49" s="22" t="s">
        <v>140</v>
      </c>
      <c r="E49" s="22" t="s">
        <v>54</v>
      </c>
      <c r="F49" s="52">
        <v>44879</v>
      </c>
      <c r="G49" s="53">
        <v>6125</v>
      </c>
      <c r="H49" s="68" t="s">
        <v>604</v>
      </c>
      <c r="I49" s="22" t="s">
        <v>122</v>
      </c>
      <c r="J49" s="22" t="s">
        <v>123</v>
      </c>
      <c r="K49" s="22" t="s">
        <v>76</v>
      </c>
      <c r="L49" s="22">
        <v>88</v>
      </c>
      <c r="M49" s="53">
        <v>2245.83</v>
      </c>
      <c r="N49" s="53">
        <v>0</v>
      </c>
      <c r="O49" s="64">
        <v>2245.83</v>
      </c>
    </row>
    <row r="50" spans="1:15" ht="27">
      <c r="A50" s="22">
        <v>9</v>
      </c>
      <c r="B50" s="22" t="str">
        <f t="shared" si="0"/>
        <v>1070680748I100 APORTE OBLIGATORIO AFP</v>
      </c>
      <c r="C50" s="22" t="s">
        <v>53</v>
      </c>
      <c r="D50" s="22" t="s">
        <v>140</v>
      </c>
      <c r="E50" s="22" t="s">
        <v>54</v>
      </c>
      <c r="F50" s="52">
        <v>44879</v>
      </c>
      <c r="G50" s="53">
        <v>6125</v>
      </c>
      <c r="H50" s="68" t="s">
        <v>604</v>
      </c>
      <c r="I50" s="22" t="s">
        <v>107</v>
      </c>
      <c r="J50" s="22" t="s">
        <v>108</v>
      </c>
      <c r="K50" s="22" t="s">
        <v>88</v>
      </c>
      <c r="L50" s="22">
        <v>0</v>
      </c>
      <c r="M50" s="53">
        <v>0</v>
      </c>
      <c r="N50" s="53">
        <v>810.94</v>
      </c>
      <c r="O50" s="23">
        <v>-810.94</v>
      </c>
    </row>
    <row r="51" spans="1:15" ht="36">
      <c r="A51" s="22">
        <v>9</v>
      </c>
      <c r="B51" s="22" t="str">
        <f t="shared" si="0"/>
        <v>1070680748R000 RETENCION IMPUESTO A LA RENTA</v>
      </c>
      <c r="C51" s="22" t="s">
        <v>53</v>
      </c>
      <c r="D51" s="22" t="s">
        <v>140</v>
      </c>
      <c r="E51" s="22" t="s">
        <v>54</v>
      </c>
      <c r="F51" s="52">
        <v>44879</v>
      </c>
      <c r="G51" s="53">
        <v>6125</v>
      </c>
      <c r="H51" s="68" t="s">
        <v>604</v>
      </c>
      <c r="I51" s="22" t="s">
        <v>113</v>
      </c>
      <c r="J51" s="22" t="s">
        <v>114</v>
      </c>
      <c r="K51" s="22" t="s">
        <v>62</v>
      </c>
      <c r="L51" s="22">
        <v>0</v>
      </c>
      <c r="M51" s="53">
        <v>0</v>
      </c>
      <c r="N51" s="53">
        <v>440.35</v>
      </c>
      <c r="O51" s="23">
        <v>-440.35</v>
      </c>
    </row>
    <row r="52" spans="1:15" ht="18">
      <c r="A52" s="22">
        <v>10</v>
      </c>
      <c r="B52" s="22" t="str">
        <f t="shared" si="0"/>
        <v>1072251509A000 SUELDO BASICO</v>
      </c>
      <c r="C52" s="22" t="s">
        <v>58</v>
      </c>
      <c r="D52" s="22" t="s">
        <v>133</v>
      </c>
      <c r="E52" s="22" t="s">
        <v>60</v>
      </c>
      <c r="F52" s="52">
        <v>43241</v>
      </c>
      <c r="G52" s="53">
        <v>4631</v>
      </c>
      <c r="H52" s="68" t="s">
        <v>604</v>
      </c>
      <c r="I52" s="22" t="s">
        <v>105</v>
      </c>
      <c r="J52" s="22" t="s">
        <v>106</v>
      </c>
      <c r="K52" s="22" t="s">
        <v>61</v>
      </c>
      <c r="L52" s="22">
        <v>168</v>
      </c>
      <c r="M52" s="53">
        <v>3241.7</v>
      </c>
      <c r="N52" s="53">
        <v>0</v>
      </c>
      <c r="O52" s="64">
        <v>3241.7</v>
      </c>
    </row>
    <row r="53" spans="1:15" ht="27">
      <c r="A53" s="22">
        <v>10</v>
      </c>
      <c r="B53" s="22" t="str">
        <f t="shared" si="0"/>
        <v>1072251509A012 ASIGNACION FAMILIAR</v>
      </c>
      <c r="C53" s="22" t="s">
        <v>58</v>
      </c>
      <c r="D53" s="22" t="s">
        <v>133</v>
      </c>
      <c r="E53" s="22" t="s">
        <v>60</v>
      </c>
      <c r="F53" s="52">
        <v>43241</v>
      </c>
      <c r="G53" s="53">
        <v>4631</v>
      </c>
      <c r="H53" s="68" t="s">
        <v>604</v>
      </c>
      <c r="I53" s="22" t="s">
        <v>120</v>
      </c>
      <c r="J53" s="22" t="s">
        <v>121</v>
      </c>
      <c r="K53" s="22" t="s">
        <v>66</v>
      </c>
      <c r="L53" s="22">
        <v>0</v>
      </c>
      <c r="M53" s="53">
        <v>113</v>
      </c>
      <c r="N53" s="53">
        <v>0</v>
      </c>
      <c r="O53" s="64">
        <v>113</v>
      </c>
    </row>
    <row r="54" spans="1:15" ht="27">
      <c r="A54" s="22">
        <v>10</v>
      </c>
      <c r="B54" s="22" t="str">
        <f t="shared" si="0"/>
        <v>1072251509D013 AUXILIO DE MOVILIDAD</v>
      </c>
      <c r="C54" s="22" t="s">
        <v>58</v>
      </c>
      <c r="D54" s="22" t="s">
        <v>133</v>
      </c>
      <c r="E54" s="22" t="s">
        <v>60</v>
      </c>
      <c r="F54" s="52">
        <v>43241</v>
      </c>
      <c r="G54" s="53">
        <v>4631</v>
      </c>
      <c r="H54" s="68" t="s">
        <v>604</v>
      </c>
      <c r="I54" s="22" t="s">
        <v>118</v>
      </c>
      <c r="J54" s="22" t="s">
        <v>119</v>
      </c>
      <c r="K54" s="22" t="s">
        <v>72</v>
      </c>
      <c r="L54" s="22">
        <v>0</v>
      </c>
      <c r="M54" s="53">
        <v>32</v>
      </c>
      <c r="N54" s="53">
        <v>0</v>
      </c>
      <c r="O54" s="64">
        <v>32</v>
      </c>
    </row>
    <row r="55" spans="1:15" ht="18">
      <c r="A55" s="22">
        <v>10</v>
      </c>
      <c r="B55" s="22" t="str">
        <f t="shared" si="0"/>
        <v>1072251509G006 VACACIONES</v>
      </c>
      <c r="C55" s="22" t="s">
        <v>58</v>
      </c>
      <c r="D55" s="22" t="s">
        <v>133</v>
      </c>
      <c r="E55" s="22" t="s">
        <v>60</v>
      </c>
      <c r="F55" s="52">
        <v>43241</v>
      </c>
      <c r="G55" s="53">
        <v>4631</v>
      </c>
      <c r="H55" s="68" t="s">
        <v>604</v>
      </c>
      <c r="I55" s="22" t="s">
        <v>122</v>
      </c>
      <c r="J55" s="22" t="s">
        <v>123</v>
      </c>
      <c r="K55" s="22" t="s">
        <v>76</v>
      </c>
      <c r="L55" s="22">
        <v>72</v>
      </c>
      <c r="M55" s="53">
        <v>1389.3</v>
      </c>
      <c r="N55" s="53">
        <v>0</v>
      </c>
      <c r="O55" s="64">
        <v>1389.3</v>
      </c>
    </row>
    <row r="56" spans="1:15" ht="27">
      <c r="A56" s="22">
        <v>10</v>
      </c>
      <c r="B56" s="22" t="str">
        <f t="shared" si="0"/>
        <v>1072251509I100 APORTE OBLIGATORIO AFP</v>
      </c>
      <c r="C56" s="22" t="s">
        <v>58</v>
      </c>
      <c r="D56" s="22" t="s">
        <v>133</v>
      </c>
      <c r="E56" s="22" t="s">
        <v>60</v>
      </c>
      <c r="F56" s="52">
        <v>43241</v>
      </c>
      <c r="G56" s="53">
        <v>4631</v>
      </c>
      <c r="H56" s="68" t="s">
        <v>604</v>
      </c>
      <c r="I56" s="22" t="s">
        <v>107</v>
      </c>
      <c r="J56" s="22" t="s">
        <v>108</v>
      </c>
      <c r="K56" s="22" t="s">
        <v>88</v>
      </c>
      <c r="L56" s="22">
        <v>0</v>
      </c>
      <c r="M56" s="53">
        <v>0</v>
      </c>
      <c r="N56" s="53">
        <v>474.4</v>
      </c>
      <c r="O56" s="23">
        <v>-474.4</v>
      </c>
    </row>
    <row r="57" spans="1:15" ht="27">
      <c r="A57" s="22">
        <v>10</v>
      </c>
      <c r="B57" s="22" t="str">
        <f t="shared" si="0"/>
        <v>1072251509I200 SOBREVIVENCIA AFP</v>
      </c>
      <c r="C57" s="22" t="s">
        <v>58</v>
      </c>
      <c r="D57" s="22" t="s">
        <v>133</v>
      </c>
      <c r="E57" s="22" t="s">
        <v>60</v>
      </c>
      <c r="F57" s="52">
        <v>43241</v>
      </c>
      <c r="G57" s="53">
        <v>4631</v>
      </c>
      <c r="H57" s="68" t="s">
        <v>604</v>
      </c>
      <c r="I57" s="22" t="s">
        <v>109</v>
      </c>
      <c r="J57" s="22" t="s">
        <v>110</v>
      </c>
      <c r="K57" s="22" t="s">
        <v>89</v>
      </c>
      <c r="L57" s="22">
        <v>0</v>
      </c>
      <c r="M57" s="53">
        <v>0</v>
      </c>
      <c r="N57" s="53">
        <v>64.989999999999995</v>
      </c>
      <c r="O57" s="23">
        <v>-64.989999999999995</v>
      </c>
    </row>
    <row r="58" spans="1:15" ht="36">
      <c r="A58" s="22">
        <v>10</v>
      </c>
      <c r="B58" s="22" t="str">
        <f t="shared" si="0"/>
        <v>1072251509R000 RETENCION IMPUESTO A LA RENTA</v>
      </c>
      <c r="C58" s="22" t="s">
        <v>58</v>
      </c>
      <c r="D58" s="22" t="s">
        <v>133</v>
      </c>
      <c r="E58" s="22" t="s">
        <v>60</v>
      </c>
      <c r="F58" s="52">
        <v>43241</v>
      </c>
      <c r="G58" s="53">
        <v>4631</v>
      </c>
      <c r="H58" s="68" t="s">
        <v>604</v>
      </c>
      <c r="I58" s="22" t="s">
        <v>113</v>
      </c>
      <c r="J58" s="22" t="s">
        <v>114</v>
      </c>
      <c r="K58" s="22" t="s">
        <v>62</v>
      </c>
      <c r="L58" s="22">
        <v>0</v>
      </c>
      <c r="M58" s="53">
        <v>0</v>
      </c>
      <c r="N58" s="53">
        <v>197.7</v>
      </c>
      <c r="O58" s="23">
        <v>-197.7</v>
      </c>
    </row>
    <row r="59" spans="1:15" ht="18">
      <c r="A59" s="22">
        <v>11</v>
      </c>
      <c r="B59" s="22" t="str">
        <f t="shared" si="0"/>
        <v>1077485287A000 SUELDO BASICO</v>
      </c>
      <c r="C59" s="22" t="s">
        <v>69</v>
      </c>
      <c r="D59" s="22" t="s">
        <v>115</v>
      </c>
      <c r="E59" s="22" t="s">
        <v>71</v>
      </c>
      <c r="F59" s="52">
        <v>45323</v>
      </c>
      <c r="G59" s="53">
        <v>2142</v>
      </c>
      <c r="H59" s="68" t="s">
        <v>604</v>
      </c>
      <c r="I59" s="22" t="s">
        <v>105</v>
      </c>
      <c r="J59" s="22" t="s">
        <v>106</v>
      </c>
      <c r="K59" s="22" t="s">
        <v>61</v>
      </c>
      <c r="L59" s="22">
        <v>240</v>
      </c>
      <c r="M59" s="53">
        <v>2142</v>
      </c>
      <c r="N59" s="53">
        <v>0</v>
      </c>
      <c r="O59" s="64">
        <v>2142</v>
      </c>
    </row>
    <row r="60" spans="1:15" ht="27">
      <c r="A60" s="22">
        <v>11</v>
      </c>
      <c r="B60" s="22" t="str">
        <f t="shared" si="0"/>
        <v>1077485287D013 AUXILIO DE MOVILIDAD</v>
      </c>
      <c r="C60" s="22" t="s">
        <v>69</v>
      </c>
      <c r="D60" s="22" t="s">
        <v>115</v>
      </c>
      <c r="E60" s="22" t="s">
        <v>71</v>
      </c>
      <c r="F60" s="52">
        <v>45323</v>
      </c>
      <c r="G60" s="53">
        <v>2142</v>
      </c>
      <c r="H60" s="68" t="s">
        <v>604</v>
      </c>
      <c r="I60" s="22" t="s">
        <v>118</v>
      </c>
      <c r="J60" s="22" t="s">
        <v>119</v>
      </c>
      <c r="K60" s="22" t="s">
        <v>72</v>
      </c>
      <c r="L60" s="22">
        <v>0</v>
      </c>
      <c r="M60" s="53">
        <v>48</v>
      </c>
      <c r="N60" s="53">
        <v>0</v>
      </c>
      <c r="O60" s="64">
        <v>48</v>
      </c>
    </row>
    <row r="61" spans="1:15" ht="27">
      <c r="A61" s="22">
        <v>11</v>
      </c>
      <c r="B61" s="22" t="str">
        <f t="shared" si="0"/>
        <v>1077485287I100 APORTE OBLIGATORIO AFP</v>
      </c>
      <c r="C61" s="22" t="s">
        <v>69</v>
      </c>
      <c r="D61" s="22" t="s">
        <v>115</v>
      </c>
      <c r="E61" s="22" t="s">
        <v>71</v>
      </c>
      <c r="F61" s="52">
        <v>45323</v>
      </c>
      <c r="G61" s="53">
        <v>2142</v>
      </c>
      <c r="H61" s="68" t="s">
        <v>604</v>
      </c>
      <c r="I61" s="22" t="s">
        <v>107</v>
      </c>
      <c r="J61" s="22" t="s">
        <v>108</v>
      </c>
      <c r="K61" s="22" t="s">
        <v>88</v>
      </c>
      <c r="L61" s="22">
        <v>0</v>
      </c>
      <c r="M61" s="53">
        <v>0</v>
      </c>
      <c r="N61" s="53">
        <v>214.2</v>
      </c>
      <c r="O61" s="23">
        <v>-214.2</v>
      </c>
    </row>
    <row r="62" spans="1:15" ht="27">
      <c r="A62" s="22">
        <v>11</v>
      </c>
      <c r="B62" s="22" t="str">
        <f t="shared" si="0"/>
        <v>1077485287I200 SOBREVIVENCIA AFP</v>
      </c>
      <c r="C62" s="22" t="s">
        <v>69</v>
      </c>
      <c r="D62" s="22" t="s">
        <v>115</v>
      </c>
      <c r="E62" s="22" t="s">
        <v>71</v>
      </c>
      <c r="F62" s="52">
        <v>45323</v>
      </c>
      <c r="G62" s="53">
        <v>2142</v>
      </c>
      <c r="H62" s="68" t="s">
        <v>604</v>
      </c>
      <c r="I62" s="22" t="s">
        <v>109</v>
      </c>
      <c r="J62" s="22" t="s">
        <v>110</v>
      </c>
      <c r="K62" s="22" t="s">
        <v>89</v>
      </c>
      <c r="L62" s="22">
        <v>0</v>
      </c>
      <c r="M62" s="53">
        <v>0</v>
      </c>
      <c r="N62" s="53">
        <v>29.35</v>
      </c>
      <c r="O62" s="23">
        <v>-29.35</v>
      </c>
    </row>
    <row r="63" spans="1:15" ht="18">
      <c r="A63" s="22">
        <v>12</v>
      </c>
      <c r="B63" s="22" t="str">
        <f t="shared" si="0"/>
        <v>2001252358A000 SUELDO BASICO</v>
      </c>
      <c r="C63" s="22" t="s">
        <v>73</v>
      </c>
      <c r="D63" s="22" t="s">
        <v>136</v>
      </c>
      <c r="E63" s="22" t="s">
        <v>75</v>
      </c>
      <c r="F63" s="52">
        <v>42438</v>
      </c>
      <c r="G63" s="53">
        <v>6644</v>
      </c>
      <c r="H63" s="68" t="s">
        <v>604</v>
      </c>
      <c r="I63" s="22" t="s">
        <v>105</v>
      </c>
      <c r="J63" s="22" t="s">
        <v>106</v>
      </c>
      <c r="K63" s="22" t="s">
        <v>61</v>
      </c>
      <c r="L63" s="22">
        <v>240</v>
      </c>
      <c r="M63" s="53">
        <v>6644</v>
      </c>
      <c r="N63" s="53">
        <v>0</v>
      </c>
      <c r="O63" s="64">
        <v>6644</v>
      </c>
    </row>
    <row r="64" spans="1:15" ht="27">
      <c r="A64" s="22">
        <v>12</v>
      </c>
      <c r="B64" s="22" t="str">
        <f t="shared" si="0"/>
        <v>2001252358D013 AUXILIO DE MOVILIDAD</v>
      </c>
      <c r="C64" s="22" t="s">
        <v>73</v>
      </c>
      <c r="D64" s="22" t="s">
        <v>136</v>
      </c>
      <c r="E64" s="22" t="s">
        <v>75</v>
      </c>
      <c r="F64" s="52">
        <v>42438</v>
      </c>
      <c r="G64" s="53">
        <v>6644</v>
      </c>
      <c r="H64" s="68" t="s">
        <v>604</v>
      </c>
      <c r="I64" s="22" t="s">
        <v>118</v>
      </c>
      <c r="J64" s="22" t="s">
        <v>119</v>
      </c>
      <c r="K64" s="22" t="s">
        <v>72</v>
      </c>
      <c r="L64" s="22">
        <v>0</v>
      </c>
      <c r="M64" s="53">
        <v>48</v>
      </c>
      <c r="N64" s="53">
        <v>0</v>
      </c>
      <c r="O64" s="64">
        <v>48</v>
      </c>
    </row>
    <row r="65" spans="1:15" ht="27">
      <c r="A65" s="22">
        <v>12</v>
      </c>
      <c r="B65" s="22" t="str">
        <f t="shared" si="0"/>
        <v>2001252358I100 APORTE OBLIGATORIO AFP</v>
      </c>
      <c r="C65" s="22" t="s">
        <v>73</v>
      </c>
      <c r="D65" s="22" t="s">
        <v>136</v>
      </c>
      <c r="E65" s="22" t="s">
        <v>75</v>
      </c>
      <c r="F65" s="52">
        <v>42438</v>
      </c>
      <c r="G65" s="53">
        <v>6644</v>
      </c>
      <c r="H65" s="68" t="s">
        <v>604</v>
      </c>
      <c r="I65" s="22" t="s">
        <v>107</v>
      </c>
      <c r="J65" s="22" t="s">
        <v>108</v>
      </c>
      <c r="K65" s="22" t="s">
        <v>88</v>
      </c>
      <c r="L65" s="22">
        <v>0</v>
      </c>
      <c r="M65" s="53">
        <v>0</v>
      </c>
      <c r="N65" s="53">
        <v>664.4</v>
      </c>
      <c r="O65" s="23">
        <v>-664.4</v>
      </c>
    </row>
    <row r="66" spans="1:15" ht="27">
      <c r="A66" s="22">
        <v>12</v>
      </c>
      <c r="B66" s="22" t="str">
        <f t="shared" si="0"/>
        <v>2001252358I200 SOBREVIVENCIA AFP</v>
      </c>
      <c r="C66" s="22" t="s">
        <v>73</v>
      </c>
      <c r="D66" s="22" t="s">
        <v>136</v>
      </c>
      <c r="E66" s="22" t="s">
        <v>75</v>
      </c>
      <c r="F66" s="52">
        <v>42438</v>
      </c>
      <c r="G66" s="53">
        <v>6644</v>
      </c>
      <c r="H66" s="68" t="s">
        <v>604</v>
      </c>
      <c r="I66" s="22" t="s">
        <v>109</v>
      </c>
      <c r="J66" s="22" t="s">
        <v>110</v>
      </c>
      <c r="K66" s="22" t="s">
        <v>89</v>
      </c>
      <c r="L66" s="22">
        <v>0</v>
      </c>
      <c r="M66" s="53">
        <v>0</v>
      </c>
      <c r="N66" s="53">
        <v>91.02</v>
      </c>
      <c r="O66" s="23">
        <v>-91.02</v>
      </c>
    </row>
    <row r="67" spans="1:15" ht="36">
      <c r="A67" s="22">
        <v>12</v>
      </c>
      <c r="B67" s="22" t="str">
        <f t="shared" ref="B67:B86" si="2">+CONCATENATE($C67,$K67)</f>
        <v>2001252358R000 RETENCION IMPUESTO A LA RENTA</v>
      </c>
      <c r="C67" s="22" t="s">
        <v>73</v>
      </c>
      <c r="D67" s="22" t="s">
        <v>136</v>
      </c>
      <c r="E67" s="22" t="s">
        <v>75</v>
      </c>
      <c r="F67" s="52">
        <v>42438</v>
      </c>
      <c r="G67" s="53">
        <v>6644</v>
      </c>
      <c r="H67" s="68" t="s">
        <v>604</v>
      </c>
      <c r="I67" s="22" t="s">
        <v>113</v>
      </c>
      <c r="J67" s="22" t="s">
        <v>114</v>
      </c>
      <c r="K67" s="22" t="s">
        <v>62</v>
      </c>
      <c r="L67" s="22">
        <v>0</v>
      </c>
      <c r="M67" s="53">
        <v>0</v>
      </c>
      <c r="N67" s="53">
        <v>513.58000000000004</v>
      </c>
      <c r="O67" s="23">
        <v>-513.58000000000004</v>
      </c>
    </row>
    <row r="68" spans="1:15" ht="18">
      <c r="A68" s="22">
        <v>13</v>
      </c>
      <c r="B68" s="22" t="str">
        <f t="shared" si="2"/>
        <v>42115329A000 SUELDO BASICO</v>
      </c>
      <c r="C68" s="22" t="s">
        <v>81</v>
      </c>
      <c r="D68" s="22" t="s">
        <v>141</v>
      </c>
      <c r="E68" s="22" t="s">
        <v>81</v>
      </c>
      <c r="F68" s="52">
        <v>45740</v>
      </c>
      <c r="G68" s="53">
        <v>3090</v>
      </c>
      <c r="H68" s="68" t="s">
        <v>604</v>
      </c>
      <c r="I68" s="22" t="s">
        <v>105</v>
      </c>
      <c r="J68" s="22" t="s">
        <v>106</v>
      </c>
      <c r="K68" s="22" t="s">
        <v>61</v>
      </c>
      <c r="L68" s="22">
        <v>240</v>
      </c>
      <c r="M68" s="53">
        <v>3090</v>
      </c>
      <c r="N68" s="53">
        <v>0</v>
      </c>
      <c r="O68" s="64">
        <v>3090</v>
      </c>
    </row>
    <row r="69" spans="1:15" ht="27">
      <c r="A69" s="22">
        <v>13</v>
      </c>
      <c r="B69" s="22" t="str">
        <f t="shared" si="2"/>
        <v>42115329D013 AUXILIO DE MOVILIDAD</v>
      </c>
      <c r="C69" s="22" t="s">
        <v>81</v>
      </c>
      <c r="D69" s="22" t="s">
        <v>141</v>
      </c>
      <c r="E69" s="22" t="s">
        <v>81</v>
      </c>
      <c r="F69" s="52">
        <v>45740</v>
      </c>
      <c r="G69" s="53">
        <v>3090</v>
      </c>
      <c r="H69" s="68" t="s">
        <v>604</v>
      </c>
      <c r="I69" s="22" t="s">
        <v>118</v>
      </c>
      <c r="J69" s="22" t="s">
        <v>119</v>
      </c>
      <c r="K69" s="22" t="s">
        <v>72</v>
      </c>
      <c r="L69" s="22">
        <v>0</v>
      </c>
      <c r="M69" s="53">
        <v>36</v>
      </c>
      <c r="N69" s="53">
        <v>0</v>
      </c>
      <c r="O69" s="64">
        <v>36</v>
      </c>
    </row>
    <row r="70" spans="1:15" ht="27">
      <c r="A70" s="22">
        <v>13</v>
      </c>
      <c r="B70" s="22" t="str">
        <f t="shared" si="2"/>
        <v>42115329I100 APORTE OBLIGATORIO AFP</v>
      </c>
      <c r="C70" s="22" t="s">
        <v>81</v>
      </c>
      <c r="D70" s="22" t="s">
        <v>141</v>
      </c>
      <c r="E70" s="22" t="s">
        <v>81</v>
      </c>
      <c r="F70" s="52">
        <v>45740</v>
      </c>
      <c r="G70" s="53">
        <v>3090</v>
      </c>
      <c r="H70" s="68" t="s">
        <v>604</v>
      </c>
      <c r="I70" s="22" t="s">
        <v>107</v>
      </c>
      <c r="J70" s="22" t="s">
        <v>108</v>
      </c>
      <c r="K70" s="22" t="s">
        <v>88</v>
      </c>
      <c r="L70" s="22">
        <v>0</v>
      </c>
      <c r="M70" s="53">
        <v>0</v>
      </c>
      <c r="N70" s="53">
        <v>309</v>
      </c>
      <c r="O70" s="23">
        <v>-309</v>
      </c>
    </row>
    <row r="71" spans="1:15" ht="27">
      <c r="A71" s="22">
        <v>13</v>
      </c>
      <c r="B71" s="22" t="str">
        <f t="shared" si="2"/>
        <v>42115329I200 SOBREVIVENCIA AFP</v>
      </c>
      <c r="C71" s="22" t="s">
        <v>81</v>
      </c>
      <c r="D71" s="22" t="s">
        <v>141</v>
      </c>
      <c r="E71" s="22" t="s">
        <v>81</v>
      </c>
      <c r="F71" s="52">
        <v>45740</v>
      </c>
      <c r="G71" s="53">
        <v>3090</v>
      </c>
      <c r="H71" s="68" t="s">
        <v>604</v>
      </c>
      <c r="I71" s="22" t="s">
        <v>109</v>
      </c>
      <c r="J71" s="22" t="s">
        <v>110</v>
      </c>
      <c r="K71" s="22" t="s">
        <v>89</v>
      </c>
      <c r="L71" s="22">
        <v>0</v>
      </c>
      <c r="M71" s="53">
        <v>0</v>
      </c>
      <c r="N71" s="53">
        <v>42.33</v>
      </c>
      <c r="O71" s="23">
        <v>-42.33</v>
      </c>
    </row>
    <row r="72" spans="1:15" ht="27">
      <c r="A72" s="22">
        <v>13</v>
      </c>
      <c r="B72" s="22" t="str">
        <f t="shared" si="2"/>
        <v>42115329I300 COMISION VARIABLE AFP</v>
      </c>
      <c r="C72" s="22" t="s">
        <v>81</v>
      </c>
      <c r="D72" s="22" t="s">
        <v>141</v>
      </c>
      <c r="E72" s="22" t="s">
        <v>81</v>
      </c>
      <c r="F72" s="52">
        <v>45740</v>
      </c>
      <c r="G72" s="53">
        <v>3090</v>
      </c>
      <c r="H72" s="68" t="s">
        <v>604</v>
      </c>
      <c r="I72" s="22" t="s">
        <v>126</v>
      </c>
      <c r="J72" s="22" t="s">
        <v>127</v>
      </c>
      <c r="K72" s="22" t="s">
        <v>90</v>
      </c>
      <c r="L72" s="22">
        <v>0</v>
      </c>
      <c r="M72" s="53">
        <v>0</v>
      </c>
      <c r="N72" s="53">
        <v>47.9</v>
      </c>
      <c r="O72" s="23">
        <v>-47.9</v>
      </c>
    </row>
    <row r="73" spans="1:15" ht="36">
      <c r="A73" s="22">
        <v>13</v>
      </c>
      <c r="B73" s="22" t="str">
        <f t="shared" si="2"/>
        <v>42115329R000 RETENCION IMPUESTO A LA RENTA</v>
      </c>
      <c r="C73" s="22" t="s">
        <v>81</v>
      </c>
      <c r="D73" s="22" t="s">
        <v>141</v>
      </c>
      <c r="E73" s="22" t="s">
        <v>81</v>
      </c>
      <c r="F73" s="52">
        <v>45740</v>
      </c>
      <c r="G73" s="53">
        <v>3090</v>
      </c>
      <c r="H73" s="68" t="s">
        <v>604</v>
      </c>
      <c r="I73" s="22" t="s">
        <v>113</v>
      </c>
      <c r="J73" s="22" t="s">
        <v>114</v>
      </c>
      <c r="K73" s="22" t="s">
        <v>62</v>
      </c>
      <c r="L73" s="22">
        <v>0</v>
      </c>
      <c r="M73" s="53">
        <v>0</v>
      </c>
      <c r="N73" s="53">
        <v>36.25</v>
      </c>
      <c r="O73" s="23">
        <v>-36.25</v>
      </c>
    </row>
    <row r="74" spans="1:15" ht="18">
      <c r="A74" s="22">
        <v>14</v>
      </c>
      <c r="B74" s="22" t="str">
        <f t="shared" si="2"/>
        <v>42683912A000 SUELDO BASICO</v>
      </c>
      <c r="C74" s="22" t="s">
        <v>64</v>
      </c>
      <c r="D74" s="22" t="s">
        <v>132</v>
      </c>
      <c r="E74" s="22" t="s">
        <v>64</v>
      </c>
      <c r="F74" s="52">
        <v>45637</v>
      </c>
      <c r="G74" s="53">
        <v>5768</v>
      </c>
      <c r="H74" s="68" t="s">
        <v>604</v>
      </c>
      <c r="I74" s="22" t="s">
        <v>105</v>
      </c>
      <c r="J74" s="22" t="s">
        <v>106</v>
      </c>
      <c r="K74" s="22" t="s">
        <v>61</v>
      </c>
      <c r="L74" s="22">
        <v>240</v>
      </c>
      <c r="M74" s="53">
        <v>5768</v>
      </c>
      <c r="N74" s="53">
        <v>0</v>
      </c>
      <c r="O74" s="64">
        <v>5768</v>
      </c>
    </row>
    <row r="75" spans="1:15" ht="27">
      <c r="A75" s="22">
        <v>14</v>
      </c>
      <c r="B75" s="22" t="str">
        <f t="shared" si="2"/>
        <v>42683912D013 AUXILIO DE MOVILIDAD</v>
      </c>
      <c r="C75" s="22" t="s">
        <v>64</v>
      </c>
      <c r="D75" s="22" t="s">
        <v>132</v>
      </c>
      <c r="E75" s="22" t="s">
        <v>64</v>
      </c>
      <c r="F75" s="52">
        <v>45637</v>
      </c>
      <c r="G75" s="53">
        <v>5768</v>
      </c>
      <c r="H75" s="68" t="s">
        <v>604</v>
      </c>
      <c r="I75" s="22" t="s">
        <v>118</v>
      </c>
      <c r="J75" s="22" t="s">
        <v>119</v>
      </c>
      <c r="K75" s="22" t="s">
        <v>72</v>
      </c>
      <c r="L75" s="22">
        <v>0</v>
      </c>
      <c r="M75" s="53">
        <v>48</v>
      </c>
      <c r="N75" s="53">
        <v>0</v>
      </c>
      <c r="O75" s="64">
        <v>48</v>
      </c>
    </row>
    <row r="76" spans="1:15" ht="27">
      <c r="A76" s="22">
        <v>14</v>
      </c>
      <c r="B76" s="22" t="str">
        <f t="shared" si="2"/>
        <v>42683912I100 APORTE OBLIGATORIO AFP</v>
      </c>
      <c r="C76" s="22" t="s">
        <v>64</v>
      </c>
      <c r="D76" s="22" t="s">
        <v>132</v>
      </c>
      <c r="E76" s="22" t="s">
        <v>64</v>
      </c>
      <c r="F76" s="52">
        <v>45637</v>
      </c>
      <c r="G76" s="53">
        <v>5768</v>
      </c>
      <c r="H76" s="68" t="s">
        <v>604</v>
      </c>
      <c r="I76" s="22" t="s">
        <v>107</v>
      </c>
      <c r="J76" s="22" t="s">
        <v>108</v>
      </c>
      <c r="K76" s="22" t="s">
        <v>88</v>
      </c>
      <c r="L76" s="22">
        <v>0</v>
      </c>
      <c r="M76" s="53">
        <v>0</v>
      </c>
      <c r="N76" s="53">
        <v>576.79999999999995</v>
      </c>
      <c r="O76" s="23">
        <v>-576.79999999999995</v>
      </c>
    </row>
    <row r="77" spans="1:15" ht="27">
      <c r="A77" s="22">
        <v>14</v>
      </c>
      <c r="B77" s="22" t="str">
        <f t="shared" si="2"/>
        <v>42683912I200 SOBREVIVENCIA AFP</v>
      </c>
      <c r="C77" s="22" t="s">
        <v>64</v>
      </c>
      <c r="D77" s="22" t="s">
        <v>132</v>
      </c>
      <c r="E77" s="22" t="s">
        <v>64</v>
      </c>
      <c r="F77" s="52">
        <v>45637</v>
      </c>
      <c r="G77" s="53">
        <v>5768</v>
      </c>
      <c r="H77" s="68" t="s">
        <v>604</v>
      </c>
      <c r="I77" s="22" t="s">
        <v>109</v>
      </c>
      <c r="J77" s="22" t="s">
        <v>110</v>
      </c>
      <c r="K77" s="22" t="s">
        <v>89</v>
      </c>
      <c r="L77" s="22">
        <v>0</v>
      </c>
      <c r="M77" s="53">
        <v>0</v>
      </c>
      <c r="N77" s="53">
        <v>79.02</v>
      </c>
      <c r="O77" s="23">
        <v>-79.02</v>
      </c>
    </row>
    <row r="78" spans="1:15" ht="36">
      <c r="A78" s="22">
        <v>14</v>
      </c>
      <c r="B78" s="22" t="str">
        <f t="shared" si="2"/>
        <v>42683912R000 RETENCION IMPUESTO A LA RENTA</v>
      </c>
      <c r="C78" s="22" t="s">
        <v>64</v>
      </c>
      <c r="D78" s="22" t="s">
        <v>132</v>
      </c>
      <c r="E78" s="22" t="s">
        <v>64</v>
      </c>
      <c r="F78" s="52">
        <v>45637</v>
      </c>
      <c r="G78" s="53">
        <v>5768</v>
      </c>
      <c r="H78" s="68" t="s">
        <v>604</v>
      </c>
      <c r="I78" s="22" t="s">
        <v>113</v>
      </c>
      <c r="J78" s="22" t="s">
        <v>114</v>
      </c>
      <c r="K78" s="22" t="s">
        <v>62</v>
      </c>
      <c r="L78" s="22">
        <v>0</v>
      </c>
      <c r="M78" s="53">
        <v>0</v>
      </c>
      <c r="N78" s="53">
        <v>368.65</v>
      </c>
      <c r="O78" s="23">
        <v>-368.65</v>
      </c>
    </row>
    <row r="79" spans="1:15" ht="18">
      <c r="A79" s="22">
        <v>15</v>
      </c>
      <c r="B79" s="22" t="str">
        <f t="shared" si="2"/>
        <v>72836862A000 SUELDO BASICO</v>
      </c>
      <c r="C79" s="22" t="s">
        <v>77</v>
      </c>
      <c r="D79" s="22" t="s">
        <v>137</v>
      </c>
      <c r="E79" s="22" t="s">
        <v>77</v>
      </c>
      <c r="F79" s="52">
        <v>45208</v>
      </c>
      <c r="G79" s="53">
        <v>2652</v>
      </c>
      <c r="H79" s="68" t="s">
        <v>604</v>
      </c>
      <c r="I79" s="22" t="s">
        <v>105</v>
      </c>
      <c r="J79" s="22" t="s">
        <v>106</v>
      </c>
      <c r="K79" s="22" t="s">
        <v>61</v>
      </c>
      <c r="L79" s="22">
        <v>168</v>
      </c>
      <c r="M79" s="53">
        <v>1856.4</v>
      </c>
      <c r="N79" s="53">
        <v>0</v>
      </c>
      <c r="O79" s="64">
        <v>1856.4</v>
      </c>
    </row>
    <row r="80" spans="1:15" ht="27">
      <c r="A80" s="22">
        <v>15</v>
      </c>
      <c r="B80" s="22" t="str">
        <f t="shared" si="2"/>
        <v>72836862D013 AUXILIO DE MOVILIDAD</v>
      </c>
      <c r="C80" s="22" t="s">
        <v>77</v>
      </c>
      <c r="D80" s="22" t="s">
        <v>137</v>
      </c>
      <c r="E80" s="22" t="s">
        <v>77</v>
      </c>
      <c r="F80" s="52">
        <v>45208</v>
      </c>
      <c r="G80" s="53">
        <v>2652</v>
      </c>
      <c r="H80" s="68" t="s">
        <v>604</v>
      </c>
      <c r="I80" s="22" t="s">
        <v>118</v>
      </c>
      <c r="J80" s="22" t="s">
        <v>119</v>
      </c>
      <c r="K80" s="22" t="s">
        <v>72</v>
      </c>
      <c r="L80" s="22">
        <v>0</v>
      </c>
      <c r="M80" s="53">
        <v>32</v>
      </c>
      <c r="N80" s="53">
        <v>0</v>
      </c>
      <c r="O80" s="64">
        <v>32</v>
      </c>
    </row>
    <row r="81" spans="1:15" ht="18">
      <c r="A81" s="22">
        <v>15</v>
      </c>
      <c r="B81" s="22" t="str">
        <f t="shared" si="2"/>
        <v>72836862G006 VACACIONES</v>
      </c>
      <c r="C81" s="22" t="s">
        <v>77</v>
      </c>
      <c r="D81" s="22" t="s">
        <v>137</v>
      </c>
      <c r="E81" s="22" t="s">
        <v>77</v>
      </c>
      <c r="F81" s="52">
        <v>45208</v>
      </c>
      <c r="G81" s="53">
        <v>2652</v>
      </c>
      <c r="H81" s="68" t="s">
        <v>604</v>
      </c>
      <c r="I81" s="22" t="s">
        <v>122</v>
      </c>
      <c r="J81" s="22" t="s">
        <v>123</v>
      </c>
      <c r="K81" s="22" t="s">
        <v>76</v>
      </c>
      <c r="L81" s="22">
        <v>72</v>
      </c>
      <c r="M81" s="53">
        <v>795.6</v>
      </c>
      <c r="N81" s="53">
        <v>0</v>
      </c>
      <c r="O81" s="64">
        <v>795.6</v>
      </c>
    </row>
    <row r="82" spans="1:15" ht="27">
      <c r="A82" s="22">
        <v>15</v>
      </c>
      <c r="B82" s="22" t="str">
        <f t="shared" si="2"/>
        <v>72836862I100 APORTE OBLIGATORIO AFP</v>
      </c>
      <c r="C82" s="22" t="s">
        <v>77</v>
      </c>
      <c r="D82" s="22" t="s">
        <v>137</v>
      </c>
      <c r="E82" s="22" t="s">
        <v>77</v>
      </c>
      <c r="F82" s="52">
        <v>45208</v>
      </c>
      <c r="G82" s="53">
        <v>2652</v>
      </c>
      <c r="H82" s="68" t="s">
        <v>604</v>
      </c>
      <c r="I82" s="22" t="s">
        <v>107</v>
      </c>
      <c r="J82" s="22" t="s">
        <v>108</v>
      </c>
      <c r="K82" s="22" t="s">
        <v>88</v>
      </c>
      <c r="L82" s="22">
        <v>0</v>
      </c>
      <c r="M82" s="53">
        <v>0</v>
      </c>
      <c r="N82" s="53">
        <v>265.2</v>
      </c>
      <c r="O82" s="23">
        <v>-265.2</v>
      </c>
    </row>
    <row r="83" spans="1:15" ht="27">
      <c r="A83" s="22">
        <v>15</v>
      </c>
      <c r="B83" s="22" t="str">
        <f t="shared" si="2"/>
        <v>72836862I200 SOBREVIVENCIA AFP</v>
      </c>
      <c r="C83" s="22" t="s">
        <v>77</v>
      </c>
      <c r="D83" s="22" t="s">
        <v>137</v>
      </c>
      <c r="E83" s="22" t="s">
        <v>77</v>
      </c>
      <c r="F83" s="52">
        <v>45208</v>
      </c>
      <c r="G83" s="53">
        <v>2652</v>
      </c>
      <c r="H83" s="68" t="s">
        <v>604</v>
      </c>
      <c r="I83" s="22" t="s">
        <v>109</v>
      </c>
      <c r="J83" s="22" t="s">
        <v>110</v>
      </c>
      <c r="K83" s="22" t="s">
        <v>89</v>
      </c>
      <c r="L83" s="22">
        <v>0</v>
      </c>
      <c r="M83" s="53">
        <v>0</v>
      </c>
      <c r="N83" s="53">
        <v>36.33</v>
      </c>
      <c r="O83" s="23">
        <v>-36.33</v>
      </c>
    </row>
    <row r="84" spans="1:15" ht="27">
      <c r="A84" s="22">
        <v>16</v>
      </c>
      <c r="B84" s="22" t="str">
        <f t="shared" si="2"/>
        <v>74026184A006 SUBVENCION ECONOMICA</v>
      </c>
      <c r="C84" s="22" t="s">
        <v>591</v>
      </c>
      <c r="D84" s="22" t="s">
        <v>603</v>
      </c>
      <c r="E84" s="22" t="s">
        <v>591</v>
      </c>
      <c r="F84" s="52">
        <v>46153</v>
      </c>
      <c r="G84" s="53">
        <v>1130</v>
      </c>
      <c r="H84" s="68" t="s">
        <v>604</v>
      </c>
      <c r="I84" s="22" t="s">
        <v>116</v>
      </c>
      <c r="J84" s="22" t="s">
        <v>117</v>
      </c>
      <c r="K84" s="22" t="s">
        <v>91</v>
      </c>
      <c r="L84" s="22">
        <v>160</v>
      </c>
      <c r="M84" s="53">
        <v>753.33</v>
      </c>
      <c r="N84" s="53">
        <v>0</v>
      </c>
      <c r="O84" s="64">
        <v>753.33</v>
      </c>
    </row>
    <row r="85" spans="1:15" ht="27">
      <c r="A85" s="22">
        <v>17</v>
      </c>
      <c r="B85" s="22" t="str">
        <f t="shared" si="2"/>
        <v>76607245A006 SUBVENCION ECONOMICA</v>
      </c>
      <c r="C85" s="22" t="s">
        <v>80</v>
      </c>
      <c r="D85" s="22" t="s">
        <v>124</v>
      </c>
      <c r="E85" s="22" t="s">
        <v>80</v>
      </c>
      <c r="F85" s="52">
        <v>45740</v>
      </c>
      <c r="G85" s="53">
        <v>1130</v>
      </c>
      <c r="H85" s="68" t="s">
        <v>604</v>
      </c>
      <c r="I85" s="22" t="s">
        <v>116</v>
      </c>
      <c r="J85" s="22" t="s">
        <v>117</v>
      </c>
      <c r="K85" s="22" t="s">
        <v>91</v>
      </c>
      <c r="L85" s="22">
        <v>216</v>
      </c>
      <c r="M85" s="53">
        <v>1017</v>
      </c>
      <c r="N85" s="53">
        <v>0</v>
      </c>
      <c r="O85" s="64">
        <v>1017</v>
      </c>
    </row>
    <row r="86" spans="1:15" ht="18">
      <c r="A86" s="22">
        <v>17</v>
      </c>
      <c r="B86" s="22" t="str">
        <f t="shared" si="2"/>
        <v>76607245G006 VACACIONES</v>
      </c>
      <c r="C86" s="22" t="s">
        <v>80</v>
      </c>
      <c r="D86" s="22" t="s">
        <v>124</v>
      </c>
      <c r="E86" s="22" t="s">
        <v>80</v>
      </c>
      <c r="F86" s="52">
        <v>45740</v>
      </c>
      <c r="G86" s="53">
        <v>1130</v>
      </c>
      <c r="H86" s="68" t="s">
        <v>604</v>
      </c>
      <c r="I86" s="22" t="s">
        <v>122</v>
      </c>
      <c r="J86" s="22" t="s">
        <v>123</v>
      </c>
      <c r="K86" s="22" t="s">
        <v>76</v>
      </c>
      <c r="L86" s="22">
        <v>24</v>
      </c>
      <c r="M86" s="53">
        <v>113</v>
      </c>
      <c r="N86" s="53">
        <v>0</v>
      </c>
      <c r="O86" s="64">
        <v>113</v>
      </c>
    </row>
  </sheetData>
  <autoFilter ref="A1:V86" xr:uid="{00000000-0009-0000-0000-000011000000}"/>
  <pageMargins left="0.7" right="0.7" top="0.75" bottom="0.75" header="0.3" footer="0.3"/>
  <pageSetup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7" filterMode="1"/>
  <dimension ref="A1:AB86"/>
  <sheetViews>
    <sheetView showGridLines="0" zoomScale="110" zoomScaleNormal="110" workbookViewId="0">
      <pane xSplit="6" ySplit="1" topLeftCell="J2" activePane="bottomRight" state="frozen"/>
      <selection pane="topRight" activeCell="C1" sqref="C1"/>
      <selection pane="bottomLeft" activeCell="A2" sqref="A2"/>
      <selection pane="bottomRight" activeCell="J83" sqref="J83"/>
    </sheetView>
  </sheetViews>
  <sheetFormatPr baseColWidth="10" defaultColWidth="11.44140625" defaultRowHeight="14.4"/>
  <cols>
    <col min="1" max="7" width="13.44140625" style="26" customWidth="1"/>
    <col min="8" max="11" width="19.33203125" style="26" customWidth="1"/>
    <col min="12" max="12" width="6.88671875" style="26" customWidth="1"/>
    <col min="13" max="13" width="10.44140625" style="26" customWidth="1"/>
    <col min="14" max="15" width="10.109375" style="26" customWidth="1"/>
    <col min="16" max="16384" width="11.44140625" style="26"/>
  </cols>
  <sheetData>
    <row r="1" spans="1:28" ht="18">
      <c r="A1" s="20" t="s">
        <v>92</v>
      </c>
      <c r="B1" s="20" t="s">
        <v>93</v>
      </c>
      <c r="C1" s="20" t="s">
        <v>1</v>
      </c>
      <c r="D1" s="20" t="s">
        <v>94</v>
      </c>
      <c r="E1" s="20" t="s">
        <v>95</v>
      </c>
      <c r="F1" s="20" t="s">
        <v>96</v>
      </c>
      <c r="G1" s="20" t="s">
        <v>37</v>
      </c>
      <c r="H1" s="20" t="s">
        <v>97</v>
      </c>
      <c r="I1" s="20" t="s">
        <v>55</v>
      </c>
      <c r="J1" s="20" t="s">
        <v>98</v>
      </c>
      <c r="K1" s="20" t="s">
        <v>572</v>
      </c>
      <c r="L1" s="20" t="s">
        <v>56</v>
      </c>
      <c r="M1" s="20" t="s">
        <v>99</v>
      </c>
      <c r="N1" s="20" t="s">
        <v>100</v>
      </c>
      <c r="O1" s="20" t="s">
        <v>101</v>
      </c>
      <c r="Q1" s="20" t="s">
        <v>102</v>
      </c>
      <c r="R1" s="20" t="s">
        <v>8</v>
      </c>
      <c r="S1" s="20" t="s">
        <v>9</v>
      </c>
      <c r="T1" s="20" t="s">
        <v>567</v>
      </c>
      <c r="U1" s="20" t="s">
        <v>568</v>
      </c>
      <c r="Z1" s="63">
        <v>46173</v>
      </c>
      <c r="AA1" s="26" t="str">
        <f>TEXT(Z1,"MMMM")</f>
        <v>Mayo</v>
      </c>
      <c r="AB1" s="26" t="str">
        <f>UPPER(AA1)</f>
        <v>MAYO</v>
      </c>
    </row>
    <row r="2" spans="1:28" ht="18" hidden="1">
      <c r="A2" s="22">
        <v>1</v>
      </c>
      <c r="B2" s="22" t="str">
        <f>+CONCATENATE($C2,$K2)</f>
        <v>1007874085A000 SUELDO BASICO</v>
      </c>
      <c r="C2" s="22" t="s">
        <v>12</v>
      </c>
      <c r="D2" s="22" t="s">
        <v>139</v>
      </c>
      <c r="E2" s="22" t="s">
        <v>14</v>
      </c>
      <c r="F2" s="52">
        <v>44348</v>
      </c>
      <c r="G2" s="53">
        <v>3899</v>
      </c>
      <c r="H2" s="68" t="s">
        <v>604</v>
      </c>
      <c r="I2" s="22" t="s">
        <v>105</v>
      </c>
      <c r="J2" s="22" t="s">
        <v>106</v>
      </c>
      <c r="K2" s="22" t="s">
        <v>61</v>
      </c>
      <c r="L2" s="22">
        <v>240</v>
      </c>
      <c r="M2" s="53">
        <v>3899</v>
      </c>
      <c r="N2" s="53">
        <v>0</v>
      </c>
      <c r="O2" s="64">
        <v>3899</v>
      </c>
      <c r="Q2" s="26" t="str">
        <f>MID(H2,7,"2")</f>
        <v>01</v>
      </c>
      <c r="R2" s="26" t="str">
        <f>MID(H2,5,2)</f>
        <v>05</v>
      </c>
      <c r="S2" s="26" t="str">
        <f>MID(H2,1,4)</f>
        <v>2026</v>
      </c>
      <c r="T2" s="26" t="str">
        <f>CONCATENATE(Q2,"/",R2,"/",S2)</f>
        <v>01/05/2026</v>
      </c>
      <c r="U2" s="63">
        <f>$Z$1</f>
        <v>46173</v>
      </c>
    </row>
    <row r="3" spans="1:28" ht="27" hidden="1">
      <c r="A3" s="22">
        <v>1</v>
      </c>
      <c r="B3" s="22" t="str">
        <f t="shared" ref="B3:B66" si="0">+CONCATENATE($C3,$K3)</f>
        <v>1007874085A012 ASIGNACION FAMILIAR</v>
      </c>
      <c r="C3" s="22" t="s">
        <v>12</v>
      </c>
      <c r="D3" s="22" t="s">
        <v>139</v>
      </c>
      <c r="E3" s="22" t="s">
        <v>14</v>
      </c>
      <c r="F3" s="52">
        <v>44348</v>
      </c>
      <c r="G3" s="53">
        <v>3899</v>
      </c>
      <c r="H3" s="68" t="s">
        <v>604</v>
      </c>
      <c r="I3" s="22" t="s">
        <v>120</v>
      </c>
      <c r="J3" s="22" t="s">
        <v>121</v>
      </c>
      <c r="K3" s="22" t="s">
        <v>66</v>
      </c>
      <c r="L3" s="22">
        <v>0</v>
      </c>
      <c r="M3" s="53">
        <v>113</v>
      </c>
      <c r="N3" s="53">
        <v>0</v>
      </c>
      <c r="O3" s="64">
        <v>113</v>
      </c>
      <c r="Q3" s="26" t="str">
        <f t="shared" ref="Q3:Q66" si="1">MID(H3,7,"2")</f>
        <v>01</v>
      </c>
      <c r="R3" s="26" t="str">
        <f t="shared" ref="R3:R66" si="2">MID(H3,5,2)</f>
        <v>05</v>
      </c>
      <c r="S3" s="26" t="str">
        <f t="shared" ref="S3:S66" si="3">MID(H3,1,4)</f>
        <v>2026</v>
      </c>
      <c r="T3" s="26" t="str">
        <f t="shared" ref="T3:T66" si="4">CONCATENATE(Q3,"/",R3,"/",S3)</f>
        <v>01/05/2026</v>
      </c>
      <c r="U3" s="63">
        <f t="shared" ref="U3:U66" si="5">$Z$1</f>
        <v>46173</v>
      </c>
    </row>
    <row r="4" spans="1:28" ht="27" hidden="1">
      <c r="A4" s="22">
        <v>1</v>
      </c>
      <c r="B4" s="22" t="str">
        <f t="shared" si="0"/>
        <v>1007874085D013 AUXILIO DE MOVILIDAD</v>
      </c>
      <c r="C4" s="22" t="s">
        <v>12</v>
      </c>
      <c r="D4" s="22" t="s">
        <v>139</v>
      </c>
      <c r="E4" s="22" t="s">
        <v>14</v>
      </c>
      <c r="F4" s="52">
        <v>44348</v>
      </c>
      <c r="G4" s="53">
        <v>3899</v>
      </c>
      <c r="H4" s="68" t="s">
        <v>604</v>
      </c>
      <c r="I4" s="22" t="s">
        <v>118</v>
      </c>
      <c r="J4" s="22" t="s">
        <v>119</v>
      </c>
      <c r="K4" s="22" t="s">
        <v>72</v>
      </c>
      <c r="L4" s="22">
        <v>0</v>
      </c>
      <c r="M4" s="53">
        <v>36</v>
      </c>
      <c r="N4" s="53">
        <v>0</v>
      </c>
      <c r="O4" s="64">
        <v>36</v>
      </c>
      <c r="Q4" s="26" t="str">
        <f t="shared" si="1"/>
        <v>01</v>
      </c>
      <c r="R4" s="26" t="str">
        <f t="shared" si="2"/>
        <v>05</v>
      </c>
      <c r="S4" s="26" t="str">
        <f t="shared" si="3"/>
        <v>2026</v>
      </c>
      <c r="T4" s="26" t="str">
        <f t="shared" si="4"/>
        <v>01/05/2026</v>
      </c>
      <c r="U4" s="63">
        <f t="shared" si="5"/>
        <v>46173</v>
      </c>
    </row>
    <row r="5" spans="1:28" ht="36" hidden="1">
      <c r="A5" s="22">
        <v>1</v>
      </c>
      <c r="B5" s="22" t="str">
        <f t="shared" si="0"/>
        <v>1007874085R000 RETENCION IMPUESTO A LA RENTA</v>
      </c>
      <c r="C5" s="22" t="s">
        <v>12</v>
      </c>
      <c r="D5" s="22" t="s">
        <v>139</v>
      </c>
      <c r="E5" s="22" t="s">
        <v>14</v>
      </c>
      <c r="F5" s="52">
        <v>44348</v>
      </c>
      <c r="G5" s="53">
        <v>3899</v>
      </c>
      <c r="H5" s="68" t="s">
        <v>604</v>
      </c>
      <c r="I5" s="22" t="s">
        <v>113</v>
      </c>
      <c r="J5" s="22" t="s">
        <v>114</v>
      </c>
      <c r="K5" s="22" t="s">
        <v>62</v>
      </c>
      <c r="L5" s="22">
        <v>0</v>
      </c>
      <c r="M5" s="53">
        <v>0</v>
      </c>
      <c r="N5" s="53">
        <v>121.57</v>
      </c>
      <c r="O5" s="23">
        <v>-121.57</v>
      </c>
      <c r="Q5" s="26" t="str">
        <f t="shared" si="1"/>
        <v>01</v>
      </c>
      <c r="R5" s="26" t="str">
        <f t="shared" si="2"/>
        <v>05</v>
      </c>
      <c r="S5" s="26" t="str">
        <f t="shared" si="3"/>
        <v>2026</v>
      </c>
      <c r="T5" s="26" t="str">
        <f t="shared" si="4"/>
        <v>01/05/2026</v>
      </c>
      <c r="U5" s="63">
        <f t="shared" si="5"/>
        <v>46173</v>
      </c>
    </row>
    <row r="6" spans="1:28" ht="18" hidden="1">
      <c r="A6" s="22">
        <v>1</v>
      </c>
      <c r="B6" s="22" t="str">
        <f t="shared" si="0"/>
        <v>1007874085S006 DESCUENTO EPS</v>
      </c>
      <c r="C6" s="22" t="s">
        <v>12</v>
      </c>
      <c r="D6" s="22" t="s">
        <v>139</v>
      </c>
      <c r="E6" s="22" t="s">
        <v>14</v>
      </c>
      <c r="F6" s="52">
        <v>44348</v>
      </c>
      <c r="G6" s="53">
        <v>3899</v>
      </c>
      <c r="H6" s="68" t="s">
        <v>604</v>
      </c>
      <c r="I6" s="22" t="s">
        <v>128</v>
      </c>
      <c r="J6" s="22" t="s">
        <v>129</v>
      </c>
      <c r="K6" s="22" t="s">
        <v>67</v>
      </c>
      <c r="L6" s="22">
        <v>0</v>
      </c>
      <c r="M6" s="53">
        <v>0</v>
      </c>
      <c r="N6" s="53">
        <v>202.42</v>
      </c>
      <c r="O6" s="23">
        <v>-202.42</v>
      </c>
      <c r="Q6" s="26" t="str">
        <f t="shared" si="1"/>
        <v>01</v>
      </c>
      <c r="R6" s="26" t="str">
        <f t="shared" si="2"/>
        <v>05</v>
      </c>
      <c r="S6" s="26" t="str">
        <f t="shared" si="3"/>
        <v>2026</v>
      </c>
      <c r="T6" s="26" t="str">
        <f t="shared" si="4"/>
        <v>01/05/2026</v>
      </c>
      <c r="U6" s="63">
        <f t="shared" si="5"/>
        <v>46173</v>
      </c>
    </row>
    <row r="7" spans="1:28" ht="36" hidden="1">
      <c r="A7" s="22">
        <v>2</v>
      </c>
      <c r="B7" s="22" t="str">
        <f t="shared" si="0"/>
        <v>1040703418A000 SUELDO BASICO</v>
      </c>
      <c r="C7" s="22" t="s">
        <v>19</v>
      </c>
      <c r="D7" s="22" t="s">
        <v>125</v>
      </c>
      <c r="E7" s="22" t="s">
        <v>21</v>
      </c>
      <c r="F7" s="52">
        <v>42257</v>
      </c>
      <c r="G7" s="53">
        <v>3700</v>
      </c>
      <c r="H7" s="68" t="s">
        <v>604</v>
      </c>
      <c r="I7" s="22" t="s">
        <v>105</v>
      </c>
      <c r="J7" s="22" t="s">
        <v>106</v>
      </c>
      <c r="K7" s="22" t="s">
        <v>61</v>
      </c>
      <c r="L7" s="22">
        <v>216</v>
      </c>
      <c r="M7" s="53">
        <v>3330</v>
      </c>
      <c r="N7" s="53">
        <v>0</v>
      </c>
      <c r="O7" s="64">
        <v>3330</v>
      </c>
      <c r="Q7" s="26" t="str">
        <f t="shared" si="1"/>
        <v>01</v>
      </c>
      <c r="R7" s="26" t="str">
        <f t="shared" si="2"/>
        <v>05</v>
      </c>
      <c r="S7" s="26" t="str">
        <f t="shared" si="3"/>
        <v>2026</v>
      </c>
      <c r="T7" s="26" t="str">
        <f t="shared" si="4"/>
        <v>01/05/2026</v>
      </c>
      <c r="U7" s="63">
        <f t="shared" si="5"/>
        <v>46173</v>
      </c>
    </row>
    <row r="8" spans="1:28" ht="36" hidden="1">
      <c r="A8" s="22">
        <v>2</v>
      </c>
      <c r="B8" s="22" t="str">
        <f t="shared" si="0"/>
        <v>1040703418B100 DESCANSO MEDICO</v>
      </c>
      <c r="C8" s="22" t="s">
        <v>19</v>
      </c>
      <c r="D8" s="22" t="s">
        <v>125</v>
      </c>
      <c r="E8" s="22" t="s">
        <v>21</v>
      </c>
      <c r="F8" s="52">
        <v>42257</v>
      </c>
      <c r="G8" s="53">
        <v>3700</v>
      </c>
      <c r="H8" s="68" t="s">
        <v>604</v>
      </c>
      <c r="I8" s="22" t="s">
        <v>570</v>
      </c>
      <c r="J8" s="22" t="s">
        <v>571</v>
      </c>
      <c r="K8" s="22" t="s">
        <v>573</v>
      </c>
      <c r="L8" s="22">
        <v>24</v>
      </c>
      <c r="M8" s="53">
        <v>370</v>
      </c>
      <c r="N8" s="53">
        <v>0</v>
      </c>
      <c r="O8" s="64">
        <v>370</v>
      </c>
      <c r="Q8" s="26" t="str">
        <f t="shared" si="1"/>
        <v>01</v>
      </c>
      <c r="R8" s="26" t="str">
        <f t="shared" si="2"/>
        <v>05</v>
      </c>
      <c r="S8" s="26" t="str">
        <f t="shared" si="3"/>
        <v>2026</v>
      </c>
      <c r="T8" s="26" t="str">
        <f t="shared" si="4"/>
        <v>01/05/2026</v>
      </c>
      <c r="U8" s="63">
        <f t="shared" si="5"/>
        <v>46173</v>
      </c>
    </row>
    <row r="9" spans="1:28" ht="36" hidden="1">
      <c r="A9" s="22">
        <v>2</v>
      </c>
      <c r="B9" s="22" t="str">
        <f t="shared" si="0"/>
        <v>1040703418D013 AUXILIO DE MOVILIDAD</v>
      </c>
      <c r="C9" s="22" t="s">
        <v>19</v>
      </c>
      <c r="D9" s="22" t="s">
        <v>125</v>
      </c>
      <c r="E9" s="22" t="s">
        <v>21</v>
      </c>
      <c r="F9" s="52">
        <v>42257</v>
      </c>
      <c r="G9" s="53">
        <v>3700</v>
      </c>
      <c r="H9" s="68" t="s">
        <v>604</v>
      </c>
      <c r="I9" s="22" t="s">
        <v>118</v>
      </c>
      <c r="J9" s="22" t="s">
        <v>119</v>
      </c>
      <c r="K9" s="22" t="s">
        <v>72</v>
      </c>
      <c r="L9" s="22">
        <v>0</v>
      </c>
      <c r="M9" s="53">
        <v>24</v>
      </c>
      <c r="N9" s="53">
        <v>0</v>
      </c>
      <c r="O9" s="64">
        <v>24</v>
      </c>
      <c r="Q9" s="26" t="str">
        <f t="shared" si="1"/>
        <v>01</v>
      </c>
      <c r="R9" s="26" t="str">
        <f t="shared" si="2"/>
        <v>05</v>
      </c>
      <c r="S9" s="26" t="str">
        <f t="shared" si="3"/>
        <v>2026</v>
      </c>
      <c r="T9" s="26" t="str">
        <f t="shared" si="4"/>
        <v>01/05/2026</v>
      </c>
      <c r="U9" s="63">
        <f t="shared" si="5"/>
        <v>46173</v>
      </c>
    </row>
    <row r="10" spans="1:28" ht="36" hidden="1">
      <c r="A10" s="22">
        <v>2</v>
      </c>
      <c r="B10" s="22" t="str">
        <f t="shared" si="0"/>
        <v>1040703418I100 APORTE OBLIGATORIO AFP</v>
      </c>
      <c r="C10" s="22" t="s">
        <v>19</v>
      </c>
      <c r="D10" s="22" t="s">
        <v>125</v>
      </c>
      <c r="E10" s="22" t="s">
        <v>21</v>
      </c>
      <c r="F10" s="52">
        <v>42257</v>
      </c>
      <c r="G10" s="53">
        <v>3700</v>
      </c>
      <c r="H10" s="68" t="s">
        <v>604</v>
      </c>
      <c r="I10" s="22" t="s">
        <v>107</v>
      </c>
      <c r="J10" s="22" t="s">
        <v>108</v>
      </c>
      <c r="K10" s="22" t="s">
        <v>88</v>
      </c>
      <c r="L10" s="22">
        <v>0</v>
      </c>
      <c r="M10" s="53">
        <v>0</v>
      </c>
      <c r="N10" s="53">
        <v>370</v>
      </c>
      <c r="O10" s="23">
        <v>-370</v>
      </c>
      <c r="Q10" s="26" t="str">
        <f t="shared" si="1"/>
        <v>01</v>
      </c>
      <c r="R10" s="26" t="str">
        <f t="shared" si="2"/>
        <v>05</v>
      </c>
      <c r="S10" s="26" t="str">
        <f t="shared" si="3"/>
        <v>2026</v>
      </c>
      <c r="T10" s="26" t="str">
        <f t="shared" si="4"/>
        <v>01/05/2026</v>
      </c>
      <c r="U10" s="63">
        <f t="shared" si="5"/>
        <v>46173</v>
      </c>
    </row>
    <row r="11" spans="1:28" ht="36" hidden="1">
      <c r="A11" s="22">
        <v>2</v>
      </c>
      <c r="B11" s="22" t="str">
        <f t="shared" si="0"/>
        <v>1040703418I200 SOBREVIVENCIA AFP</v>
      </c>
      <c r="C11" s="22" t="s">
        <v>19</v>
      </c>
      <c r="D11" s="22" t="s">
        <v>125</v>
      </c>
      <c r="E11" s="22" t="s">
        <v>21</v>
      </c>
      <c r="F11" s="52">
        <v>42257</v>
      </c>
      <c r="G11" s="53">
        <v>3700</v>
      </c>
      <c r="H11" s="68" t="s">
        <v>604</v>
      </c>
      <c r="I11" s="22" t="s">
        <v>109</v>
      </c>
      <c r="J11" s="22" t="s">
        <v>110</v>
      </c>
      <c r="K11" s="22" t="s">
        <v>89</v>
      </c>
      <c r="L11" s="22">
        <v>0</v>
      </c>
      <c r="M11" s="53">
        <v>0</v>
      </c>
      <c r="N11" s="53">
        <v>50.69</v>
      </c>
      <c r="O11" s="23">
        <v>-50.69</v>
      </c>
      <c r="Q11" s="26" t="str">
        <f t="shared" si="1"/>
        <v>01</v>
      </c>
      <c r="R11" s="26" t="str">
        <f t="shared" si="2"/>
        <v>05</v>
      </c>
      <c r="S11" s="26" t="str">
        <f t="shared" si="3"/>
        <v>2026</v>
      </c>
      <c r="T11" s="26" t="str">
        <f t="shared" si="4"/>
        <v>01/05/2026</v>
      </c>
      <c r="U11" s="63">
        <f t="shared" si="5"/>
        <v>46173</v>
      </c>
    </row>
    <row r="12" spans="1:28" ht="36" hidden="1">
      <c r="A12" s="22">
        <v>2</v>
      </c>
      <c r="B12" s="22" t="str">
        <f t="shared" si="0"/>
        <v>1040703418I300 COMISION VARIABLE AFP</v>
      </c>
      <c r="C12" s="22" t="s">
        <v>19</v>
      </c>
      <c r="D12" s="22" t="s">
        <v>125</v>
      </c>
      <c r="E12" s="22" t="s">
        <v>21</v>
      </c>
      <c r="F12" s="52">
        <v>42257</v>
      </c>
      <c r="G12" s="53">
        <v>3700</v>
      </c>
      <c r="H12" s="68" t="s">
        <v>604</v>
      </c>
      <c r="I12" s="22" t="s">
        <v>126</v>
      </c>
      <c r="J12" s="22" t="s">
        <v>127</v>
      </c>
      <c r="K12" s="22" t="s">
        <v>90</v>
      </c>
      <c r="L12" s="22">
        <v>0</v>
      </c>
      <c r="M12" s="53">
        <v>0</v>
      </c>
      <c r="N12" s="53">
        <v>57.35</v>
      </c>
      <c r="O12" s="23">
        <v>-57.35</v>
      </c>
      <c r="Q12" s="26" t="str">
        <f t="shared" si="1"/>
        <v>01</v>
      </c>
      <c r="R12" s="26" t="str">
        <f t="shared" si="2"/>
        <v>05</v>
      </c>
      <c r="S12" s="26" t="str">
        <f t="shared" si="3"/>
        <v>2026</v>
      </c>
      <c r="T12" s="26" t="str">
        <f t="shared" si="4"/>
        <v>01/05/2026</v>
      </c>
      <c r="U12" s="63">
        <f t="shared" si="5"/>
        <v>46173</v>
      </c>
    </row>
    <row r="13" spans="1:28" ht="36" hidden="1">
      <c r="A13" s="22">
        <v>2</v>
      </c>
      <c r="B13" s="22" t="str">
        <f t="shared" si="0"/>
        <v>1040703418R000 RETENCION IMPUESTO A LA RENTA</v>
      </c>
      <c r="C13" s="22" t="s">
        <v>19</v>
      </c>
      <c r="D13" s="22" t="s">
        <v>125</v>
      </c>
      <c r="E13" s="22" t="s">
        <v>21</v>
      </c>
      <c r="F13" s="52">
        <v>42257</v>
      </c>
      <c r="G13" s="53">
        <v>3700</v>
      </c>
      <c r="H13" s="68" t="s">
        <v>604</v>
      </c>
      <c r="I13" s="22" t="s">
        <v>113</v>
      </c>
      <c r="J13" s="22" t="s">
        <v>114</v>
      </c>
      <c r="K13" s="22" t="s">
        <v>62</v>
      </c>
      <c r="L13" s="22">
        <v>0</v>
      </c>
      <c r="M13" s="53">
        <v>0</v>
      </c>
      <c r="N13" s="53">
        <v>93.85</v>
      </c>
      <c r="O13" s="23">
        <v>-93.85</v>
      </c>
      <c r="Q13" s="26" t="str">
        <f t="shared" si="1"/>
        <v>01</v>
      </c>
      <c r="R13" s="26" t="str">
        <f t="shared" si="2"/>
        <v>05</v>
      </c>
      <c r="S13" s="26" t="str">
        <f t="shared" si="3"/>
        <v>2026</v>
      </c>
      <c r="T13" s="26" t="str">
        <f t="shared" si="4"/>
        <v>01/05/2026</v>
      </c>
      <c r="U13" s="63">
        <f t="shared" si="5"/>
        <v>46173</v>
      </c>
    </row>
    <row r="14" spans="1:28" ht="18" hidden="1">
      <c r="A14" s="22">
        <v>3</v>
      </c>
      <c r="B14" s="22" t="str">
        <f t="shared" si="0"/>
        <v>1044771836A000 SUELDO BASICO</v>
      </c>
      <c r="C14" s="22" t="s">
        <v>22</v>
      </c>
      <c r="D14" s="22" t="s">
        <v>131</v>
      </c>
      <c r="E14" s="22" t="s">
        <v>24</v>
      </c>
      <c r="F14" s="52">
        <v>42506</v>
      </c>
      <c r="G14" s="53">
        <v>8842</v>
      </c>
      <c r="H14" s="68" t="s">
        <v>604</v>
      </c>
      <c r="I14" s="22" t="s">
        <v>105</v>
      </c>
      <c r="J14" s="22" t="s">
        <v>106</v>
      </c>
      <c r="K14" s="22" t="s">
        <v>61</v>
      </c>
      <c r="L14" s="22">
        <v>184</v>
      </c>
      <c r="M14" s="53">
        <v>6778.87</v>
      </c>
      <c r="N14" s="53">
        <v>0</v>
      </c>
      <c r="O14" s="64">
        <v>6778.87</v>
      </c>
      <c r="Q14" s="26" t="str">
        <f t="shared" si="1"/>
        <v>01</v>
      </c>
      <c r="R14" s="26" t="str">
        <f t="shared" si="2"/>
        <v>05</v>
      </c>
      <c r="S14" s="26" t="str">
        <f t="shared" si="3"/>
        <v>2026</v>
      </c>
      <c r="T14" s="26" t="str">
        <f t="shared" si="4"/>
        <v>01/05/2026</v>
      </c>
      <c r="U14" s="63">
        <f t="shared" si="5"/>
        <v>46173</v>
      </c>
    </row>
    <row r="15" spans="1:28" ht="18" hidden="1">
      <c r="A15" s="22">
        <v>3</v>
      </c>
      <c r="B15" s="22" t="str">
        <f t="shared" si="0"/>
        <v>1044771836G006 VACACIONES</v>
      </c>
      <c r="C15" s="22" t="s">
        <v>22</v>
      </c>
      <c r="D15" s="22" t="s">
        <v>131</v>
      </c>
      <c r="E15" s="22" t="s">
        <v>24</v>
      </c>
      <c r="F15" s="52">
        <v>42506</v>
      </c>
      <c r="G15" s="53">
        <v>8842</v>
      </c>
      <c r="H15" s="68" t="s">
        <v>604</v>
      </c>
      <c r="I15" s="22" t="s">
        <v>122</v>
      </c>
      <c r="J15" s="22" t="s">
        <v>123</v>
      </c>
      <c r="K15" s="22" t="s">
        <v>76</v>
      </c>
      <c r="L15" s="22">
        <v>56</v>
      </c>
      <c r="M15" s="53">
        <v>2063.13</v>
      </c>
      <c r="N15" s="53">
        <v>0</v>
      </c>
      <c r="O15" s="64">
        <v>2063.13</v>
      </c>
      <c r="Q15" s="26" t="str">
        <f t="shared" si="1"/>
        <v>01</v>
      </c>
      <c r="R15" s="26" t="str">
        <f t="shared" si="2"/>
        <v>05</v>
      </c>
      <c r="S15" s="26" t="str">
        <f t="shared" si="3"/>
        <v>2026</v>
      </c>
      <c r="T15" s="26" t="str">
        <f t="shared" si="4"/>
        <v>01/05/2026</v>
      </c>
      <c r="U15" s="63">
        <f t="shared" si="5"/>
        <v>46173</v>
      </c>
    </row>
    <row r="16" spans="1:28" ht="27" hidden="1">
      <c r="A16" s="22">
        <v>3</v>
      </c>
      <c r="B16" s="22" t="str">
        <f t="shared" si="0"/>
        <v>1044771836I100 APORTE OBLIGATORIO AFP</v>
      </c>
      <c r="C16" s="22" t="s">
        <v>22</v>
      </c>
      <c r="D16" s="22" t="s">
        <v>131</v>
      </c>
      <c r="E16" s="22" t="s">
        <v>24</v>
      </c>
      <c r="F16" s="52">
        <v>42506</v>
      </c>
      <c r="G16" s="53">
        <v>8842</v>
      </c>
      <c r="H16" s="68" t="s">
        <v>604</v>
      </c>
      <c r="I16" s="22" t="s">
        <v>107</v>
      </c>
      <c r="J16" s="22" t="s">
        <v>108</v>
      </c>
      <c r="K16" s="22" t="s">
        <v>88</v>
      </c>
      <c r="L16" s="22">
        <v>0</v>
      </c>
      <c r="M16" s="53">
        <v>0</v>
      </c>
      <c r="N16" s="53">
        <v>884.2</v>
      </c>
      <c r="O16" s="23">
        <v>-884.2</v>
      </c>
      <c r="Q16" s="26" t="str">
        <f t="shared" si="1"/>
        <v>01</v>
      </c>
      <c r="R16" s="26" t="str">
        <f t="shared" si="2"/>
        <v>05</v>
      </c>
      <c r="S16" s="26" t="str">
        <f t="shared" si="3"/>
        <v>2026</v>
      </c>
      <c r="T16" s="26" t="str">
        <f t="shared" si="4"/>
        <v>01/05/2026</v>
      </c>
      <c r="U16" s="63">
        <f t="shared" si="5"/>
        <v>46173</v>
      </c>
    </row>
    <row r="17" spans="1:21" ht="27" hidden="1">
      <c r="A17" s="22">
        <v>3</v>
      </c>
      <c r="B17" s="22" t="str">
        <f t="shared" si="0"/>
        <v>1044771836I200 SOBREVIVENCIA AFP</v>
      </c>
      <c r="C17" s="22" t="s">
        <v>22</v>
      </c>
      <c r="D17" s="22" t="s">
        <v>131</v>
      </c>
      <c r="E17" s="22" t="s">
        <v>24</v>
      </c>
      <c r="F17" s="52">
        <v>42506</v>
      </c>
      <c r="G17" s="53">
        <v>8842</v>
      </c>
      <c r="H17" s="68" t="s">
        <v>604</v>
      </c>
      <c r="I17" s="22" t="s">
        <v>109</v>
      </c>
      <c r="J17" s="22" t="s">
        <v>110</v>
      </c>
      <c r="K17" s="22" t="s">
        <v>89</v>
      </c>
      <c r="L17" s="22">
        <v>0</v>
      </c>
      <c r="M17" s="53">
        <v>0</v>
      </c>
      <c r="N17" s="53">
        <v>121.14</v>
      </c>
      <c r="O17" s="23">
        <v>-121.14</v>
      </c>
      <c r="Q17" s="26" t="str">
        <f t="shared" si="1"/>
        <v>01</v>
      </c>
      <c r="R17" s="26" t="str">
        <f t="shared" si="2"/>
        <v>05</v>
      </c>
      <c r="S17" s="26" t="str">
        <f t="shared" si="3"/>
        <v>2026</v>
      </c>
      <c r="T17" s="26" t="str">
        <f t="shared" si="4"/>
        <v>01/05/2026</v>
      </c>
      <c r="U17" s="63">
        <f t="shared" si="5"/>
        <v>46173</v>
      </c>
    </row>
    <row r="18" spans="1:21" ht="27" hidden="1">
      <c r="A18" s="22">
        <v>3</v>
      </c>
      <c r="B18" s="22" t="str">
        <f t="shared" si="0"/>
        <v>1044771836I300 COMISION VARIABLE AFP</v>
      </c>
      <c r="C18" s="22" t="s">
        <v>22</v>
      </c>
      <c r="D18" s="22" t="s">
        <v>131</v>
      </c>
      <c r="E18" s="22" t="s">
        <v>24</v>
      </c>
      <c r="F18" s="52">
        <v>42506</v>
      </c>
      <c r="G18" s="53">
        <v>8842</v>
      </c>
      <c r="H18" s="68" t="s">
        <v>604</v>
      </c>
      <c r="I18" s="22" t="s">
        <v>126</v>
      </c>
      <c r="J18" s="22" t="s">
        <v>127</v>
      </c>
      <c r="K18" s="22" t="s">
        <v>90</v>
      </c>
      <c r="L18" s="22">
        <v>0</v>
      </c>
      <c r="M18" s="53">
        <v>0</v>
      </c>
      <c r="N18" s="53">
        <v>149.43</v>
      </c>
      <c r="O18" s="23">
        <v>-149.43</v>
      </c>
      <c r="Q18" s="26" t="str">
        <f t="shared" si="1"/>
        <v>01</v>
      </c>
      <c r="R18" s="26" t="str">
        <f t="shared" si="2"/>
        <v>05</v>
      </c>
      <c r="S18" s="26" t="str">
        <f t="shared" si="3"/>
        <v>2026</v>
      </c>
      <c r="T18" s="26" t="str">
        <f t="shared" si="4"/>
        <v>01/05/2026</v>
      </c>
      <c r="U18" s="63">
        <f t="shared" si="5"/>
        <v>46173</v>
      </c>
    </row>
    <row r="19" spans="1:21" ht="36" hidden="1">
      <c r="A19" s="22">
        <v>3</v>
      </c>
      <c r="B19" s="22" t="str">
        <f t="shared" si="0"/>
        <v>1044771836R000 RETENCION IMPUESTO A LA RENTA</v>
      </c>
      <c r="C19" s="22" t="s">
        <v>22</v>
      </c>
      <c r="D19" s="22" t="s">
        <v>131</v>
      </c>
      <c r="E19" s="22" t="s">
        <v>24</v>
      </c>
      <c r="F19" s="52">
        <v>42506</v>
      </c>
      <c r="G19" s="53">
        <v>8842</v>
      </c>
      <c r="H19" s="68" t="s">
        <v>604</v>
      </c>
      <c r="I19" s="22" t="s">
        <v>113</v>
      </c>
      <c r="J19" s="22" t="s">
        <v>114</v>
      </c>
      <c r="K19" s="22" t="s">
        <v>62</v>
      </c>
      <c r="L19" s="22">
        <v>0</v>
      </c>
      <c r="M19" s="53">
        <v>0</v>
      </c>
      <c r="N19" s="53">
        <v>871.57</v>
      </c>
      <c r="O19" s="23">
        <v>-871.57</v>
      </c>
      <c r="Q19" s="26" t="str">
        <f t="shared" si="1"/>
        <v>01</v>
      </c>
      <c r="R19" s="26" t="str">
        <f t="shared" si="2"/>
        <v>05</v>
      </c>
      <c r="S19" s="26" t="str">
        <f t="shared" si="3"/>
        <v>2026</v>
      </c>
      <c r="T19" s="26" t="str">
        <f t="shared" si="4"/>
        <v>01/05/2026</v>
      </c>
      <c r="U19" s="63">
        <f t="shared" si="5"/>
        <v>46173</v>
      </c>
    </row>
    <row r="20" spans="1:21" ht="18" hidden="1">
      <c r="A20" s="22">
        <v>4</v>
      </c>
      <c r="B20" s="22" t="str">
        <f t="shared" si="0"/>
        <v>1045191394A000 SUELDO BASICO</v>
      </c>
      <c r="C20" s="22" t="s">
        <v>29</v>
      </c>
      <c r="D20" s="22" t="s">
        <v>104</v>
      </c>
      <c r="E20" s="22" t="s">
        <v>31</v>
      </c>
      <c r="F20" s="52">
        <v>42989</v>
      </c>
      <c r="G20" s="53">
        <v>14615</v>
      </c>
      <c r="H20" s="68" t="s">
        <v>604</v>
      </c>
      <c r="I20" s="22" t="s">
        <v>105</v>
      </c>
      <c r="J20" s="22" t="s">
        <v>106</v>
      </c>
      <c r="K20" s="22" t="s">
        <v>61</v>
      </c>
      <c r="L20" s="22">
        <v>240</v>
      </c>
      <c r="M20" s="53">
        <v>14615</v>
      </c>
      <c r="N20" s="53">
        <v>0</v>
      </c>
      <c r="O20" s="64">
        <v>14615</v>
      </c>
      <c r="Q20" s="26" t="str">
        <f t="shared" si="1"/>
        <v>01</v>
      </c>
      <c r="R20" s="26" t="str">
        <f t="shared" si="2"/>
        <v>05</v>
      </c>
      <c r="S20" s="26" t="str">
        <f t="shared" si="3"/>
        <v>2026</v>
      </c>
      <c r="T20" s="26" t="str">
        <f t="shared" si="4"/>
        <v>01/05/2026</v>
      </c>
      <c r="U20" s="63">
        <f t="shared" si="5"/>
        <v>46173</v>
      </c>
    </row>
    <row r="21" spans="1:21" ht="27" hidden="1">
      <c r="A21" s="22">
        <v>4</v>
      </c>
      <c r="B21" s="22" t="str">
        <f t="shared" si="0"/>
        <v>1045191394I100 APORTE OBLIGATORIO AFP</v>
      </c>
      <c r="C21" s="22" t="s">
        <v>29</v>
      </c>
      <c r="D21" s="22" t="s">
        <v>104</v>
      </c>
      <c r="E21" s="22" t="s">
        <v>31</v>
      </c>
      <c r="F21" s="52">
        <v>42989</v>
      </c>
      <c r="G21" s="53">
        <v>14615</v>
      </c>
      <c r="H21" s="68" t="s">
        <v>604</v>
      </c>
      <c r="I21" s="22" t="s">
        <v>107</v>
      </c>
      <c r="J21" s="22" t="s">
        <v>108</v>
      </c>
      <c r="K21" s="22" t="s">
        <v>88</v>
      </c>
      <c r="L21" s="22">
        <v>0</v>
      </c>
      <c r="M21" s="53">
        <v>0</v>
      </c>
      <c r="N21" s="53">
        <v>1461.5</v>
      </c>
      <c r="O21" s="23">
        <v>-1461.5</v>
      </c>
      <c r="Q21" s="26" t="str">
        <f t="shared" si="1"/>
        <v>01</v>
      </c>
      <c r="R21" s="26" t="str">
        <f t="shared" si="2"/>
        <v>05</v>
      </c>
      <c r="S21" s="26" t="str">
        <f t="shared" si="3"/>
        <v>2026</v>
      </c>
      <c r="T21" s="26" t="str">
        <f t="shared" si="4"/>
        <v>01/05/2026</v>
      </c>
      <c r="U21" s="63">
        <f t="shared" si="5"/>
        <v>46173</v>
      </c>
    </row>
    <row r="22" spans="1:21" ht="27" hidden="1">
      <c r="A22" s="22">
        <v>4</v>
      </c>
      <c r="B22" s="22" t="str">
        <f t="shared" si="0"/>
        <v>1045191394I200 SOBREVIVENCIA AFP</v>
      </c>
      <c r="C22" s="22" t="s">
        <v>29</v>
      </c>
      <c r="D22" s="22" t="s">
        <v>104</v>
      </c>
      <c r="E22" s="22" t="s">
        <v>31</v>
      </c>
      <c r="F22" s="52">
        <v>42989</v>
      </c>
      <c r="G22" s="53">
        <v>14615</v>
      </c>
      <c r="H22" s="68" t="s">
        <v>604</v>
      </c>
      <c r="I22" s="22" t="s">
        <v>109</v>
      </c>
      <c r="J22" s="22" t="s">
        <v>110</v>
      </c>
      <c r="K22" s="22" t="s">
        <v>89</v>
      </c>
      <c r="L22" s="22">
        <v>0</v>
      </c>
      <c r="M22" s="53">
        <v>0</v>
      </c>
      <c r="N22" s="53">
        <v>172.61</v>
      </c>
      <c r="O22" s="23">
        <v>-172.61</v>
      </c>
      <c r="Q22" s="26" t="str">
        <f t="shared" si="1"/>
        <v>01</v>
      </c>
      <c r="R22" s="26" t="str">
        <f t="shared" si="2"/>
        <v>05</v>
      </c>
      <c r="S22" s="26" t="str">
        <f t="shared" si="3"/>
        <v>2026</v>
      </c>
      <c r="T22" s="26" t="str">
        <f t="shared" si="4"/>
        <v>01/05/2026</v>
      </c>
      <c r="U22" s="63">
        <f t="shared" si="5"/>
        <v>46173</v>
      </c>
    </row>
    <row r="23" spans="1:21" ht="36" hidden="1">
      <c r="A23" s="22">
        <v>4</v>
      </c>
      <c r="B23" s="22" t="str">
        <f t="shared" si="0"/>
        <v>1045191394R000 RETENCION IMPUESTO A LA RENTA</v>
      </c>
      <c r="C23" s="22" t="s">
        <v>29</v>
      </c>
      <c r="D23" s="22" t="s">
        <v>104</v>
      </c>
      <c r="E23" s="22" t="s">
        <v>31</v>
      </c>
      <c r="F23" s="52">
        <v>42989</v>
      </c>
      <c r="G23" s="53">
        <v>14615</v>
      </c>
      <c r="H23" s="68" t="s">
        <v>604</v>
      </c>
      <c r="I23" s="22" t="s">
        <v>113</v>
      </c>
      <c r="J23" s="22" t="s">
        <v>114</v>
      </c>
      <c r="K23" s="22" t="s">
        <v>62</v>
      </c>
      <c r="L23" s="22">
        <v>0</v>
      </c>
      <c r="M23" s="53">
        <v>0</v>
      </c>
      <c r="N23" s="53">
        <v>1972.88</v>
      </c>
      <c r="O23" s="23">
        <v>-1972.88</v>
      </c>
      <c r="Q23" s="26" t="str">
        <f t="shared" si="1"/>
        <v>01</v>
      </c>
      <c r="R23" s="26" t="str">
        <f t="shared" si="2"/>
        <v>05</v>
      </c>
      <c r="S23" s="26" t="str">
        <f t="shared" si="3"/>
        <v>2026</v>
      </c>
      <c r="T23" s="26" t="str">
        <f t="shared" si="4"/>
        <v>01/05/2026</v>
      </c>
      <c r="U23" s="63">
        <f t="shared" si="5"/>
        <v>46173</v>
      </c>
    </row>
    <row r="24" spans="1:21" ht="18" hidden="1">
      <c r="A24" s="22">
        <v>5</v>
      </c>
      <c r="B24" s="22" t="str">
        <f t="shared" si="0"/>
        <v>1046129072A000 SUELDO BASICO</v>
      </c>
      <c r="C24" s="22" t="s">
        <v>32</v>
      </c>
      <c r="D24" s="22" t="s">
        <v>135</v>
      </c>
      <c r="E24" s="22" t="s">
        <v>34</v>
      </c>
      <c r="F24" s="52">
        <v>42765</v>
      </c>
      <c r="G24" s="53">
        <v>3871</v>
      </c>
      <c r="H24" s="68" t="s">
        <v>604</v>
      </c>
      <c r="I24" s="22" t="s">
        <v>105</v>
      </c>
      <c r="J24" s="22" t="s">
        <v>106</v>
      </c>
      <c r="K24" s="22" t="s">
        <v>61</v>
      </c>
      <c r="L24" s="22">
        <v>184</v>
      </c>
      <c r="M24" s="53">
        <v>2967.77</v>
      </c>
      <c r="N24" s="53">
        <v>0</v>
      </c>
      <c r="O24" s="64">
        <v>2967.77</v>
      </c>
      <c r="Q24" s="26" t="str">
        <f t="shared" si="1"/>
        <v>01</v>
      </c>
      <c r="R24" s="26" t="str">
        <f t="shared" si="2"/>
        <v>05</v>
      </c>
      <c r="S24" s="26" t="str">
        <f t="shared" si="3"/>
        <v>2026</v>
      </c>
      <c r="T24" s="26" t="str">
        <f t="shared" si="4"/>
        <v>01/05/2026</v>
      </c>
      <c r="U24" s="63">
        <f t="shared" si="5"/>
        <v>46173</v>
      </c>
    </row>
    <row r="25" spans="1:21" ht="27" hidden="1">
      <c r="A25" s="22">
        <v>5</v>
      </c>
      <c r="B25" s="22" t="str">
        <f t="shared" si="0"/>
        <v>1046129072D013 AUXILIO DE MOVILIDAD</v>
      </c>
      <c r="C25" s="22" t="s">
        <v>32</v>
      </c>
      <c r="D25" s="22" t="s">
        <v>135</v>
      </c>
      <c r="E25" s="22" t="s">
        <v>34</v>
      </c>
      <c r="F25" s="52">
        <v>42765</v>
      </c>
      <c r="G25" s="53">
        <v>3871</v>
      </c>
      <c r="H25" s="68" t="s">
        <v>604</v>
      </c>
      <c r="I25" s="22" t="s">
        <v>118</v>
      </c>
      <c r="J25" s="22" t="s">
        <v>119</v>
      </c>
      <c r="K25" s="22" t="s">
        <v>72</v>
      </c>
      <c r="L25" s="22">
        <v>0</v>
      </c>
      <c r="M25" s="53">
        <v>36</v>
      </c>
      <c r="N25" s="53">
        <v>0</v>
      </c>
      <c r="O25" s="64">
        <v>36</v>
      </c>
      <c r="Q25" s="26" t="str">
        <f t="shared" si="1"/>
        <v>01</v>
      </c>
      <c r="R25" s="26" t="str">
        <f t="shared" si="2"/>
        <v>05</v>
      </c>
      <c r="S25" s="26" t="str">
        <f t="shared" si="3"/>
        <v>2026</v>
      </c>
      <c r="T25" s="26" t="str">
        <f t="shared" si="4"/>
        <v>01/05/2026</v>
      </c>
      <c r="U25" s="63">
        <f t="shared" si="5"/>
        <v>46173</v>
      </c>
    </row>
    <row r="26" spans="1:21" ht="18" hidden="1">
      <c r="A26" s="22">
        <v>5</v>
      </c>
      <c r="B26" s="22" t="str">
        <f t="shared" si="0"/>
        <v>1046129072G006 VACACIONES</v>
      </c>
      <c r="C26" s="22" t="s">
        <v>32</v>
      </c>
      <c r="D26" s="22" t="s">
        <v>135</v>
      </c>
      <c r="E26" s="22" t="s">
        <v>34</v>
      </c>
      <c r="F26" s="52">
        <v>42765</v>
      </c>
      <c r="G26" s="53">
        <v>3871</v>
      </c>
      <c r="H26" s="68" t="s">
        <v>604</v>
      </c>
      <c r="I26" s="22" t="s">
        <v>122</v>
      </c>
      <c r="J26" s="22" t="s">
        <v>123</v>
      </c>
      <c r="K26" s="22" t="s">
        <v>76</v>
      </c>
      <c r="L26" s="22">
        <v>56</v>
      </c>
      <c r="M26" s="53">
        <v>903.23</v>
      </c>
      <c r="N26" s="53">
        <v>0</v>
      </c>
      <c r="O26" s="64">
        <v>903.23</v>
      </c>
      <c r="Q26" s="26" t="str">
        <f t="shared" si="1"/>
        <v>01</v>
      </c>
      <c r="R26" s="26" t="str">
        <f t="shared" si="2"/>
        <v>05</v>
      </c>
      <c r="S26" s="26" t="str">
        <f t="shared" si="3"/>
        <v>2026</v>
      </c>
      <c r="T26" s="26" t="str">
        <f t="shared" si="4"/>
        <v>01/05/2026</v>
      </c>
      <c r="U26" s="63">
        <f t="shared" si="5"/>
        <v>46173</v>
      </c>
    </row>
    <row r="27" spans="1:21" ht="27" hidden="1">
      <c r="A27" s="22">
        <v>5</v>
      </c>
      <c r="B27" s="22" t="str">
        <f t="shared" si="0"/>
        <v>1046129072I100 APORTE OBLIGATORIO AFP</v>
      </c>
      <c r="C27" s="22" t="s">
        <v>32</v>
      </c>
      <c r="D27" s="22" t="s">
        <v>135</v>
      </c>
      <c r="E27" s="22" t="s">
        <v>34</v>
      </c>
      <c r="F27" s="52">
        <v>42765</v>
      </c>
      <c r="G27" s="53">
        <v>3871</v>
      </c>
      <c r="H27" s="68" t="s">
        <v>604</v>
      </c>
      <c r="I27" s="22" t="s">
        <v>107</v>
      </c>
      <c r="J27" s="22" t="s">
        <v>108</v>
      </c>
      <c r="K27" s="22" t="s">
        <v>88</v>
      </c>
      <c r="L27" s="22">
        <v>0</v>
      </c>
      <c r="M27" s="53">
        <v>0</v>
      </c>
      <c r="N27" s="53">
        <v>387.1</v>
      </c>
      <c r="O27" s="23">
        <v>-387.1</v>
      </c>
      <c r="Q27" s="26" t="str">
        <f t="shared" si="1"/>
        <v>01</v>
      </c>
      <c r="R27" s="26" t="str">
        <f t="shared" si="2"/>
        <v>05</v>
      </c>
      <c r="S27" s="26" t="str">
        <f t="shared" si="3"/>
        <v>2026</v>
      </c>
      <c r="T27" s="26" t="str">
        <f t="shared" si="4"/>
        <v>01/05/2026</v>
      </c>
      <c r="U27" s="63">
        <f t="shared" si="5"/>
        <v>46173</v>
      </c>
    </row>
    <row r="28" spans="1:21" ht="27" hidden="1">
      <c r="A28" s="22">
        <v>5</v>
      </c>
      <c r="B28" s="22" t="str">
        <f t="shared" si="0"/>
        <v>1046129072I200 SOBREVIVENCIA AFP</v>
      </c>
      <c r="C28" s="22" t="s">
        <v>32</v>
      </c>
      <c r="D28" s="22" t="s">
        <v>135</v>
      </c>
      <c r="E28" s="22" t="s">
        <v>34</v>
      </c>
      <c r="F28" s="52">
        <v>42765</v>
      </c>
      <c r="G28" s="53">
        <v>3871</v>
      </c>
      <c r="H28" s="68" t="s">
        <v>604</v>
      </c>
      <c r="I28" s="22" t="s">
        <v>109</v>
      </c>
      <c r="J28" s="22" t="s">
        <v>110</v>
      </c>
      <c r="K28" s="22" t="s">
        <v>89</v>
      </c>
      <c r="L28" s="22">
        <v>0</v>
      </c>
      <c r="M28" s="53">
        <v>0</v>
      </c>
      <c r="N28" s="53">
        <v>53.03</v>
      </c>
      <c r="O28" s="23">
        <v>-53.03</v>
      </c>
      <c r="Q28" s="26" t="str">
        <f t="shared" si="1"/>
        <v>01</v>
      </c>
      <c r="R28" s="26" t="str">
        <f t="shared" si="2"/>
        <v>05</v>
      </c>
      <c r="S28" s="26" t="str">
        <f t="shared" si="3"/>
        <v>2026</v>
      </c>
      <c r="T28" s="26" t="str">
        <f t="shared" si="4"/>
        <v>01/05/2026</v>
      </c>
      <c r="U28" s="63">
        <f t="shared" si="5"/>
        <v>46173</v>
      </c>
    </row>
    <row r="29" spans="1:21" ht="36" hidden="1">
      <c r="A29" s="22">
        <v>5</v>
      </c>
      <c r="B29" s="22" t="str">
        <f t="shared" si="0"/>
        <v>1046129072R000 RETENCION IMPUESTO A LA RENTA</v>
      </c>
      <c r="C29" s="22" t="s">
        <v>32</v>
      </c>
      <c r="D29" s="22" t="s">
        <v>135</v>
      </c>
      <c r="E29" s="22" t="s">
        <v>34</v>
      </c>
      <c r="F29" s="52">
        <v>42765</v>
      </c>
      <c r="G29" s="53">
        <v>3871</v>
      </c>
      <c r="H29" s="68" t="s">
        <v>604</v>
      </c>
      <c r="I29" s="22" t="s">
        <v>113</v>
      </c>
      <c r="J29" s="22" t="s">
        <v>114</v>
      </c>
      <c r="K29" s="22" t="s">
        <v>62</v>
      </c>
      <c r="L29" s="22">
        <v>0</v>
      </c>
      <c r="M29" s="53">
        <v>0</v>
      </c>
      <c r="N29" s="53">
        <v>109.98</v>
      </c>
      <c r="O29" s="23">
        <v>-109.98</v>
      </c>
      <c r="Q29" s="26" t="str">
        <f t="shared" si="1"/>
        <v>01</v>
      </c>
      <c r="R29" s="26" t="str">
        <f t="shared" si="2"/>
        <v>05</v>
      </c>
      <c r="S29" s="26" t="str">
        <f t="shared" si="3"/>
        <v>2026</v>
      </c>
      <c r="T29" s="26" t="str">
        <f t="shared" si="4"/>
        <v>01/05/2026</v>
      </c>
      <c r="U29" s="63">
        <f t="shared" si="5"/>
        <v>46173</v>
      </c>
    </row>
    <row r="30" spans="1:21" ht="18" hidden="1">
      <c r="A30" s="22">
        <v>6</v>
      </c>
      <c r="B30" s="22" t="str">
        <f t="shared" si="0"/>
        <v>1046722547A000 SUELDO BASICO</v>
      </c>
      <c r="C30" s="22" t="s">
        <v>40</v>
      </c>
      <c r="D30" s="22" t="s">
        <v>134</v>
      </c>
      <c r="E30" s="22" t="s">
        <v>42</v>
      </c>
      <c r="F30" s="52">
        <v>44151</v>
      </c>
      <c r="G30" s="53">
        <v>5733</v>
      </c>
      <c r="H30" s="68" t="s">
        <v>604</v>
      </c>
      <c r="I30" s="22" t="s">
        <v>105</v>
      </c>
      <c r="J30" s="22" t="s">
        <v>106</v>
      </c>
      <c r="K30" s="22" t="s">
        <v>61</v>
      </c>
      <c r="L30" s="22">
        <v>128</v>
      </c>
      <c r="M30" s="53">
        <v>3057.6</v>
      </c>
      <c r="N30" s="53">
        <v>0</v>
      </c>
      <c r="O30" s="64">
        <v>3057.6</v>
      </c>
      <c r="Q30" s="26" t="str">
        <f t="shared" si="1"/>
        <v>01</v>
      </c>
      <c r="R30" s="26" t="str">
        <f t="shared" si="2"/>
        <v>05</v>
      </c>
      <c r="S30" s="26" t="str">
        <f t="shared" si="3"/>
        <v>2026</v>
      </c>
      <c r="T30" s="26" t="str">
        <f t="shared" si="4"/>
        <v>01/05/2026</v>
      </c>
      <c r="U30" s="63">
        <f t="shared" si="5"/>
        <v>46173</v>
      </c>
    </row>
    <row r="31" spans="1:21" ht="18" hidden="1">
      <c r="A31" s="22">
        <v>6</v>
      </c>
      <c r="B31" s="22" t="str">
        <f t="shared" si="0"/>
        <v>1046722547G006 VACACIONES</v>
      </c>
      <c r="C31" s="22" t="s">
        <v>40</v>
      </c>
      <c r="D31" s="22" t="s">
        <v>134</v>
      </c>
      <c r="E31" s="22" t="s">
        <v>42</v>
      </c>
      <c r="F31" s="52">
        <v>44151</v>
      </c>
      <c r="G31" s="53">
        <v>5733</v>
      </c>
      <c r="H31" s="68" t="s">
        <v>604</v>
      </c>
      <c r="I31" s="22" t="s">
        <v>122</v>
      </c>
      <c r="J31" s="22" t="s">
        <v>123</v>
      </c>
      <c r="K31" s="22" t="s">
        <v>76</v>
      </c>
      <c r="L31" s="22">
        <v>112</v>
      </c>
      <c r="M31" s="53">
        <v>2675.4</v>
      </c>
      <c r="N31" s="53">
        <v>0</v>
      </c>
      <c r="O31" s="64">
        <v>2675.4</v>
      </c>
      <c r="Q31" s="26" t="str">
        <f t="shared" si="1"/>
        <v>01</v>
      </c>
      <c r="R31" s="26" t="str">
        <f t="shared" si="2"/>
        <v>05</v>
      </c>
      <c r="S31" s="26" t="str">
        <f t="shared" si="3"/>
        <v>2026</v>
      </c>
      <c r="T31" s="26" t="str">
        <f t="shared" si="4"/>
        <v>01/05/2026</v>
      </c>
      <c r="U31" s="63">
        <f t="shared" si="5"/>
        <v>46173</v>
      </c>
    </row>
    <row r="32" spans="1:21" ht="27" hidden="1">
      <c r="A32" s="22">
        <v>6</v>
      </c>
      <c r="B32" s="22" t="str">
        <f t="shared" si="0"/>
        <v>1046722547I100 APORTE OBLIGATORIO AFP</v>
      </c>
      <c r="C32" s="22" t="s">
        <v>40</v>
      </c>
      <c r="D32" s="22" t="s">
        <v>134</v>
      </c>
      <c r="E32" s="22" t="s">
        <v>42</v>
      </c>
      <c r="F32" s="52">
        <v>44151</v>
      </c>
      <c r="G32" s="53">
        <v>5733</v>
      </c>
      <c r="H32" s="68" t="s">
        <v>604</v>
      </c>
      <c r="I32" s="22" t="s">
        <v>107</v>
      </c>
      <c r="J32" s="22" t="s">
        <v>108</v>
      </c>
      <c r="K32" s="22" t="s">
        <v>88</v>
      </c>
      <c r="L32" s="22">
        <v>0</v>
      </c>
      <c r="M32" s="53">
        <v>0</v>
      </c>
      <c r="N32" s="53">
        <v>573.29999999999995</v>
      </c>
      <c r="O32" s="23">
        <v>-573.29999999999995</v>
      </c>
      <c r="Q32" s="26" t="str">
        <f t="shared" si="1"/>
        <v>01</v>
      </c>
      <c r="R32" s="26" t="str">
        <f t="shared" si="2"/>
        <v>05</v>
      </c>
      <c r="S32" s="26" t="str">
        <f t="shared" si="3"/>
        <v>2026</v>
      </c>
      <c r="T32" s="26" t="str">
        <f t="shared" si="4"/>
        <v>01/05/2026</v>
      </c>
      <c r="U32" s="63">
        <f t="shared" si="5"/>
        <v>46173</v>
      </c>
    </row>
    <row r="33" spans="1:21" ht="27" hidden="1">
      <c r="A33" s="22">
        <v>6</v>
      </c>
      <c r="B33" s="22" t="str">
        <f t="shared" si="0"/>
        <v>1046722547I200 SOBREVIVENCIA AFP</v>
      </c>
      <c r="C33" s="22" t="s">
        <v>40</v>
      </c>
      <c r="D33" s="22" t="s">
        <v>134</v>
      </c>
      <c r="E33" s="22" t="s">
        <v>42</v>
      </c>
      <c r="F33" s="52">
        <v>44151</v>
      </c>
      <c r="G33" s="53">
        <v>5733</v>
      </c>
      <c r="H33" s="68" t="s">
        <v>604</v>
      </c>
      <c r="I33" s="22" t="s">
        <v>109</v>
      </c>
      <c r="J33" s="22" t="s">
        <v>110</v>
      </c>
      <c r="K33" s="22" t="s">
        <v>89</v>
      </c>
      <c r="L33" s="22">
        <v>0</v>
      </c>
      <c r="M33" s="53">
        <v>0</v>
      </c>
      <c r="N33" s="53">
        <v>78.540000000000006</v>
      </c>
      <c r="O33" s="23">
        <v>-78.540000000000006</v>
      </c>
      <c r="Q33" s="26" t="str">
        <f t="shared" si="1"/>
        <v>01</v>
      </c>
      <c r="R33" s="26" t="str">
        <f t="shared" si="2"/>
        <v>05</v>
      </c>
      <c r="S33" s="26" t="str">
        <f t="shared" si="3"/>
        <v>2026</v>
      </c>
      <c r="T33" s="26" t="str">
        <f t="shared" si="4"/>
        <v>01/05/2026</v>
      </c>
      <c r="U33" s="63">
        <f t="shared" si="5"/>
        <v>46173</v>
      </c>
    </row>
    <row r="34" spans="1:21" ht="36" hidden="1">
      <c r="A34" s="22">
        <v>6</v>
      </c>
      <c r="B34" s="22" t="str">
        <f t="shared" si="0"/>
        <v>1046722547R000 RETENCION IMPUESTO A LA RENTA</v>
      </c>
      <c r="C34" s="22" t="s">
        <v>40</v>
      </c>
      <c r="D34" s="22" t="s">
        <v>134</v>
      </c>
      <c r="E34" s="22" t="s">
        <v>42</v>
      </c>
      <c r="F34" s="52">
        <v>44151</v>
      </c>
      <c r="G34" s="53">
        <v>5733</v>
      </c>
      <c r="H34" s="68" t="s">
        <v>604</v>
      </c>
      <c r="I34" s="22" t="s">
        <v>113</v>
      </c>
      <c r="J34" s="22" t="s">
        <v>114</v>
      </c>
      <c r="K34" s="22" t="s">
        <v>62</v>
      </c>
      <c r="L34" s="22">
        <v>0</v>
      </c>
      <c r="M34" s="53">
        <v>0</v>
      </c>
      <c r="N34" s="53">
        <v>363.08</v>
      </c>
      <c r="O34" s="23">
        <v>-363.08</v>
      </c>
      <c r="Q34" s="26" t="str">
        <f t="shared" si="1"/>
        <v>01</v>
      </c>
      <c r="R34" s="26" t="str">
        <f t="shared" si="2"/>
        <v>05</v>
      </c>
      <c r="S34" s="26" t="str">
        <f t="shared" si="3"/>
        <v>2026</v>
      </c>
      <c r="T34" s="26" t="str">
        <f t="shared" si="4"/>
        <v>01/05/2026</v>
      </c>
      <c r="U34" s="63">
        <f t="shared" si="5"/>
        <v>46173</v>
      </c>
    </row>
    <row r="35" spans="1:21" ht="18" hidden="1">
      <c r="A35" s="22">
        <v>7</v>
      </c>
      <c r="B35" s="22" t="str">
        <f t="shared" si="0"/>
        <v>1047924040A000 SUELDO BASICO</v>
      </c>
      <c r="C35" s="22" t="s">
        <v>44</v>
      </c>
      <c r="D35" s="22" t="s">
        <v>138</v>
      </c>
      <c r="E35" s="22" t="s">
        <v>46</v>
      </c>
      <c r="F35" s="52">
        <v>42632</v>
      </c>
      <c r="G35" s="53">
        <v>6552</v>
      </c>
      <c r="H35" s="68" t="s">
        <v>604</v>
      </c>
      <c r="I35" s="22" t="s">
        <v>105</v>
      </c>
      <c r="J35" s="22" t="s">
        <v>106</v>
      </c>
      <c r="K35" s="22" t="s">
        <v>61</v>
      </c>
      <c r="L35" s="22">
        <v>144</v>
      </c>
      <c r="M35" s="53">
        <v>3931.2</v>
      </c>
      <c r="N35" s="53">
        <v>0</v>
      </c>
      <c r="O35" s="64">
        <v>3931.2</v>
      </c>
      <c r="Q35" s="26" t="str">
        <f t="shared" si="1"/>
        <v>01</v>
      </c>
      <c r="R35" s="26" t="str">
        <f t="shared" si="2"/>
        <v>05</v>
      </c>
      <c r="S35" s="26" t="str">
        <f t="shared" si="3"/>
        <v>2026</v>
      </c>
      <c r="T35" s="26" t="str">
        <f t="shared" si="4"/>
        <v>01/05/2026</v>
      </c>
      <c r="U35" s="63">
        <f t="shared" si="5"/>
        <v>46173</v>
      </c>
    </row>
    <row r="36" spans="1:21" ht="27" hidden="1">
      <c r="A36" s="22">
        <v>7</v>
      </c>
      <c r="B36" s="22" t="str">
        <f t="shared" si="0"/>
        <v>1047924040D013 AUXILIO DE MOVILIDAD</v>
      </c>
      <c r="C36" s="22" t="s">
        <v>44</v>
      </c>
      <c r="D36" s="22" t="s">
        <v>138</v>
      </c>
      <c r="E36" s="22" t="s">
        <v>46</v>
      </c>
      <c r="F36" s="52">
        <v>42632</v>
      </c>
      <c r="G36" s="53">
        <v>6552</v>
      </c>
      <c r="H36" s="68" t="s">
        <v>604</v>
      </c>
      <c r="I36" s="22" t="s">
        <v>118</v>
      </c>
      <c r="J36" s="22" t="s">
        <v>119</v>
      </c>
      <c r="K36" s="22" t="s">
        <v>72</v>
      </c>
      <c r="L36" s="22">
        <v>0</v>
      </c>
      <c r="M36" s="53">
        <v>36</v>
      </c>
      <c r="N36" s="53">
        <v>0</v>
      </c>
      <c r="O36" s="64">
        <v>36</v>
      </c>
      <c r="Q36" s="26" t="str">
        <f t="shared" si="1"/>
        <v>01</v>
      </c>
      <c r="R36" s="26" t="str">
        <f t="shared" si="2"/>
        <v>05</v>
      </c>
      <c r="S36" s="26" t="str">
        <f t="shared" si="3"/>
        <v>2026</v>
      </c>
      <c r="T36" s="26" t="str">
        <f t="shared" si="4"/>
        <v>01/05/2026</v>
      </c>
      <c r="U36" s="63">
        <f t="shared" si="5"/>
        <v>46173</v>
      </c>
    </row>
    <row r="37" spans="1:21" ht="18" hidden="1">
      <c r="A37" s="22">
        <v>7</v>
      </c>
      <c r="B37" s="22" t="str">
        <f t="shared" si="0"/>
        <v>1047924040G006 VACACIONES</v>
      </c>
      <c r="C37" s="22" t="s">
        <v>44</v>
      </c>
      <c r="D37" s="22" t="s">
        <v>138</v>
      </c>
      <c r="E37" s="22" t="s">
        <v>46</v>
      </c>
      <c r="F37" s="52">
        <v>42632</v>
      </c>
      <c r="G37" s="53">
        <v>6552</v>
      </c>
      <c r="H37" s="68" t="s">
        <v>604</v>
      </c>
      <c r="I37" s="22" t="s">
        <v>122</v>
      </c>
      <c r="J37" s="22" t="s">
        <v>123</v>
      </c>
      <c r="K37" s="22" t="s">
        <v>76</v>
      </c>
      <c r="L37" s="22">
        <v>96</v>
      </c>
      <c r="M37" s="53">
        <v>2620.8000000000002</v>
      </c>
      <c r="N37" s="53">
        <v>0</v>
      </c>
      <c r="O37" s="64">
        <v>2620.8000000000002</v>
      </c>
      <c r="Q37" s="26" t="str">
        <f t="shared" si="1"/>
        <v>01</v>
      </c>
      <c r="R37" s="26" t="str">
        <f t="shared" si="2"/>
        <v>05</v>
      </c>
      <c r="S37" s="26" t="str">
        <f t="shared" si="3"/>
        <v>2026</v>
      </c>
      <c r="T37" s="26" t="str">
        <f t="shared" si="4"/>
        <v>01/05/2026</v>
      </c>
      <c r="U37" s="63">
        <f t="shared" si="5"/>
        <v>46173</v>
      </c>
    </row>
    <row r="38" spans="1:21" ht="27" hidden="1">
      <c r="A38" s="22">
        <v>7</v>
      </c>
      <c r="B38" s="22" t="str">
        <f t="shared" si="0"/>
        <v>1047924040I100 APORTE OBLIGATORIO AFP</v>
      </c>
      <c r="C38" s="22" t="s">
        <v>44</v>
      </c>
      <c r="D38" s="22" t="s">
        <v>138</v>
      </c>
      <c r="E38" s="22" t="s">
        <v>46</v>
      </c>
      <c r="F38" s="52">
        <v>42632</v>
      </c>
      <c r="G38" s="53">
        <v>6552</v>
      </c>
      <c r="H38" s="68" t="s">
        <v>604</v>
      </c>
      <c r="I38" s="22" t="s">
        <v>107</v>
      </c>
      <c r="J38" s="22" t="s">
        <v>108</v>
      </c>
      <c r="K38" s="22" t="s">
        <v>88</v>
      </c>
      <c r="L38" s="22">
        <v>0</v>
      </c>
      <c r="M38" s="53">
        <v>0</v>
      </c>
      <c r="N38" s="53">
        <v>655.20000000000005</v>
      </c>
      <c r="O38" s="23">
        <v>-655.20000000000005</v>
      </c>
      <c r="Q38" s="26" t="str">
        <f t="shared" si="1"/>
        <v>01</v>
      </c>
      <c r="R38" s="26" t="str">
        <f t="shared" si="2"/>
        <v>05</v>
      </c>
      <c r="S38" s="26" t="str">
        <f t="shared" si="3"/>
        <v>2026</v>
      </c>
      <c r="T38" s="26" t="str">
        <f t="shared" si="4"/>
        <v>01/05/2026</v>
      </c>
      <c r="U38" s="63">
        <f t="shared" si="5"/>
        <v>46173</v>
      </c>
    </row>
    <row r="39" spans="1:21" ht="27" hidden="1">
      <c r="A39" s="22">
        <v>7</v>
      </c>
      <c r="B39" s="22" t="str">
        <f t="shared" si="0"/>
        <v>1047924040I200 SOBREVIVENCIA AFP</v>
      </c>
      <c r="C39" s="22" t="s">
        <v>44</v>
      </c>
      <c r="D39" s="22" t="s">
        <v>138</v>
      </c>
      <c r="E39" s="22" t="s">
        <v>46</v>
      </c>
      <c r="F39" s="52">
        <v>42632</v>
      </c>
      <c r="G39" s="53">
        <v>6552</v>
      </c>
      <c r="H39" s="68" t="s">
        <v>604</v>
      </c>
      <c r="I39" s="22" t="s">
        <v>109</v>
      </c>
      <c r="J39" s="22" t="s">
        <v>110</v>
      </c>
      <c r="K39" s="22" t="s">
        <v>89</v>
      </c>
      <c r="L39" s="22">
        <v>0</v>
      </c>
      <c r="M39" s="53">
        <v>0</v>
      </c>
      <c r="N39" s="53">
        <v>89.76</v>
      </c>
      <c r="O39" s="23">
        <v>-89.76</v>
      </c>
      <c r="Q39" s="26" t="str">
        <f t="shared" si="1"/>
        <v>01</v>
      </c>
      <c r="R39" s="26" t="str">
        <f t="shared" si="2"/>
        <v>05</v>
      </c>
      <c r="S39" s="26" t="str">
        <f t="shared" si="3"/>
        <v>2026</v>
      </c>
      <c r="T39" s="26" t="str">
        <f t="shared" si="4"/>
        <v>01/05/2026</v>
      </c>
      <c r="U39" s="63">
        <f t="shared" si="5"/>
        <v>46173</v>
      </c>
    </row>
    <row r="40" spans="1:21" ht="36" hidden="1">
      <c r="A40" s="22">
        <v>7</v>
      </c>
      <c r="B40" s="22" t="str">
        <f t="shared" si="0"/>
        <v>1047924040R000 RETENCION IMPUESTO A LA RENTA</v>
      </c>
      <c r="C40" s="22" t="s">
        <v>44</v>
      </c>
      <c r="D40" s="22" t="s">
        <v>138</v>
      </c>
      <c r="E40" s="22" t="s">
        <v>46</v>
      </c>
      <c r="F40" s="52">
        <v>42632</v>
      </c>
      <c r="G40" s="53">
        <v>6552</v>
      </c>
      <c r="H40" s="68" t="s">
        <v>604</v>
      </c>
      <c r="I40" s="22" t="s">
        <v>113</v>
      </c>
      <c r="J40" s="22" t="s">
        <v>114</v>
      </c>
      <c r="K40" s="22" t="s">
        <v>62</v>
      </c>
      <c r="L40" s="22">
        <v>0</v>
      </c>
      <c r="M40" s="53">
        <v>0</v>
      </c>
      <c r="N40" s="53">
        <v>501.01</v>
      </c>
      <c r="O40" s="23">
        <v>-501.01</v>
      </c>
      <c r="Q40" s="26" t="str">
        <f t="shared" si="1"/>
        <v>01</v>
      </c>
      <c r="R40" s="26" t="str">
        <f t="shared" si="2"/>
        <v>05</v>
      </c>
      <c r="S40" s="26" t="str">
        <f t="shared" si="3"/>
        <v>2026</v>
      </c>
      <c r="T40" s="26" t="str">
        <f t="shared" si="4"/>
        <v>01/05/2026</v>
      </c>
      <c r="U40" s="63">
        <f t="shared" si="5"/>
        <v>46173</v>
      </c>
    </row>
    <row r="41" spans="1:21" ht="27" hidden="1">
      <c r="A41" s="22">
        <v>8</v>
      </c>
      <c r="B41" s="22" t="str">
        <f t="shared" si="0"/>
        <v>1070165336A000 SUELDO BASICO</v>
      </c>
      <c r="C41" s="22" t="s">
        <v>47</v>
      </c>
      <c r="D41" s="22" t="s">
        <v>130</v>
      </c>
      <c r="E41" s="22" t="s">
        <v>49</v>
      </c>
      <c r="F41" s="52">
        <v>44623</v>
      </c>
      <c r="G41" s="53">
        <v>4099</v>
      </c>
      <c r="H41" s="68" t="s">
        <v>604</v>
      </c>
      <c r="I41" s="22" t="s">
        <v>105</v>
      </c>
      <c r="J41" s="22" t="s">
        <v>106</v>
      </c>
      <c r="K41" s="22" t="s">
        <v>61</v>
      </c>
      <c r="L41" s="22">
        <v>184</v>
      </c>
      <c r="M41" s="53">
        <v>3142.57</v>
      </c>
      <c r="N41" s="53">
        <v>0</v>
      </c>
      <c r="O41" s="64">
        <v>3142.57</v>
      </c>
      <c r="Q41" s="26" t="str">
        <f t="shared" si="1"/>
        <v>01</v>
      </c>
      <c r="R41" s="26" t="str">
        <f t="shared" si="2"/>
        <v>05</v>
      </c>
      <c r="S41" s="26" t="str">
        <f t="shared" si="3"/>
        <v>2026</v>
      </c>
      <c r="T41" s="26" t="str">
        <f t="shared" si="4"/>
        <v>01/05/2026</v>
      </c>
      <c r="U41" s="63">
        <f t="shared" si="5"/>
        <v>46173</v>
      </c>
    </row>
    <row r="42" spans="1:21" ht="27" hidden="1">
      <c r="A42" s="22">
        <v>8</v>
      </c>
      <c r="B42" s="22" t="str">
        <f t="shared" si="0"/>
        <v>1070165336D013 AUXILIO DE MOVILIDAD</v>
      </c>
      <c r="C42" s="22" t="s">
        <v>47</v>
      </c>
      <c r="D42" s="22" t="s">
        <v>130</v>
      </c>
      <c r="E42" s="22" t="s">
        <v>49</v>
      </c>
      <c r="F42" s="52">
        <v>44623</v>
      </c>
      <c r="G42" s="53">
        <v>4099</v>
      </c>
      <c r="H42" s="68" t="s">
        <v>604</v>
      </c>
      <c r="I42" s="22" t="s">
        <v>118</v>
      </c>
      <c r="J42" s="22" t="s">
        <v>119</v>
      </c>
      <c r="K42" s="22" t="s">
        <v>72</v>
      </c>
      <c r="L42" s="22">
        <v>0</v>
      </c>
      <c r="M42" s="53">
        <v>36</v>
      </c>
      <c r="N42" s="53">
        <v>0</v>
      </c>
      <c r="O42" s="64">
        <v>36</v>
      </c>
      <c r="Q42" s="26" t="str">
        <f t="shared" si="1"/>
        <v>01</v>
      </c>
      <c r="R42" s="26" t="str">
        <f t="shared" si="2"/>
        <v>05</v>
      </c>
      <c r="S42" s="26" t="str">
        <f t="shared" si="3"/>
        <v>2026</v>
      </c>
      <c r="T42" s="26" t="str">
        <f t="shared" si="4"/>
        <v>01/05/2026</v>
      </c>
      <c r="U42" s="63">
        <f t="shared" si="5"/>
        <v>46173</v>
      </c>
    </row>
    <row r="43" spans="1:21" ht="27" hidden="1">
      <c r="A43" s="22">
        <v>8</v>
      </c>
      <c r="B43" s="22" t="str">
        <f t="shared" si="0"/>
        <v>1070165336G006 VACACIONES</v>
      </c>
      <c r="C43" s="22" t="s">
        <v>47</v>
      </c>
      <c r="D43" s="22" t="s">
        <v>130</v>
      </c>
      <c r="E43" s="22" t="s">
        <v>49</v>
      </c>
      <c r="F43" s="52">
        <v>44623</v>
      </c>
      <c r="G43" s="53">
        <v>4099</v>
      </c>
      <c r="H43" s="68" t="s">
        <v>604</v>
      </c>
      <c r="I43" s="22" t="s">
        <v>122</v>
      </c>
      <c r="J43" s="22" t="s">
        <v>123</v>
      </c>
      <c r="K43" s="22" t="s">
        <v>76</v>
      </c>
      <c r="L43" s="22">
        <v>56</v>
      </c>
      <c r="M43" s="53">
        <v>956.43</v>
      </c>
      <c r="N43" s="53">
        <v>0</v>
      </c>
      <c r="O43" s="64">
        <v>956.43</v>
      </c>
      <c r="Q43" s="26" t="str">
        <f t="shared" si="1"/>
        <v>01</v>
      </c>
      <c r="R43" s="26" t="str">
        <f t="shared" si="2"/>
        <v>05</v>
      </c>
      <c r="S43" s="26" t="str">
        <f t="shared" si="3"/>
        <v>2026</v>
      </c>
      <c r="T43" s="26" t="str">
        <f t="shared" si="4"/>
        <v>01/05/2026</v>
      </c>
      <c r="U43" s="63">
        <f t="shared" si="5"/>
        <v>46173</v>
      </c>
    </row>
    <row r="44" spans="1:21" ht="27" hidden="1">
      <c r="A44" s="22">
        <v>8</v>
      </c>
      <c r="B44" s="22" t="str">
        <f t="shared" si="0"/>
        <v>1070165336I100 APORTE OBLIGATORIO AFP</v>
      </c>
      <c r="C44" s="22" t="s">
        <v>47</v>
      </c>
      <c r="D44" s="22" t="s">
        <v>130</v>
      </c>
      <c r="E44" s="22" t="s">
        <v>49</v>
      </c>
      <c r="F44" s="52">
        <v>44623</v>
      </c>
      <c r="G44" s="53">
        <v>4099</v>
      </c>
      <c r="H44" s="68" t="s">
        <v>604</v>
      </c>
      <c r="I44" s="22" t="s">
        <v>107</v>
      </c>
      <c r="J44" s="22" t="s">
        <v>108</v>
      </c>
      <c r="K44" s="22" t="s">
        <v>88</v>
      </c>
      <c r="L44" s="22">
        <v>0</v>
      </c>
      <c r="M44" s="53">
        <v>0</v>
      </c>
      <c r="N44" s="53">
        <v>409.9</v>
      </c>
      <c r="O44" s="23">
        <v>-409.9</v>
      </c>
      <c r="Q44" s="26" t="str">
        <f t="shared" si="1"/>
        <v>01</v>
      </c>
      <c r="R44" s="26" t="str">
        <f t="shared" si="2"/>
        <v>05</v>
      </c>
      <c r="S44" s="26" t="str">
        <f t="shared" si="3"/>
        <v>2026</v>
      </c>
      <c r="T44" s="26" t="str">
        <f t="shared" si="4"/>
        <v>01/05/2026</v>
      </c>
      <c r="U44" s="63">
        <f t="shared" si="5"/>
        <v>46173</v>
      </c>
    </row>
    <row r="45" spans="1:21" ht="27" hidden="1">
      <c r="A45" s="22">
        <v>8</v>
      </c>
      <c r="B45" s="22" t="str">
        <f t="shared" si="0"/>
        <v>1070165336I200 SOBREVIVENCIA AFP</v>
      </c>
      <c r="C45" s="22" t="s">
        <v>47</v>
      </c>
      <c r="D45" s="22" t="s">
        <v>130</v>
      </c>
      <c r="E45" s="22" t="s">
        <v>49</v>
      </c>
      <c r="F45" s="52">
        <v>44623</v>
      </c>
      <c r="G45" s="53">
        <v>4099</v>
      </c>
      <c r="H45" s="68" t="s">
        <v>604</v>
      </c>
      <c r="I45" s="22" t="s">
        <v>109</v>
      </c>
      <c r="J45" s="22" t="s">
        <v>110</v>
      </c>
      <c r="K45" s="22" t="s">
        <v>89</v>
      </c>
      <c r="L45" s="22">
        <v>0</v>
      </c>
      <c r="M45" s="53">
        <v>0</v>
      </c>
      <c r="N45" s="53">
        <v>56.16</v>
      </c>
      <c r="O45" s="23">
        <v>-56.16</v>
      </c>
      <c r="Q45" s="26" t="str">
        <f t="shared" si="1"/>
        <v>01</v>
      </c>
      <c r="R45" s="26" t="str">
        <f t="shared" si="2"/>
        <v>05</v>
      </c>
      <c r="S45" s="26" t="str">
        <f t="shared" si="3"/>
        <v>2026</v>
      </c>
      <c r="T45" s="26" t="str">
        <f t="shared" si="4"/>
        <v>01/05/2026</v>
      </c>
      <c r="U45" s="63">
        <f t="shared" si="5"/>
        <v>46173</v>
      </c>
    </row>
    <row r="46" spans="1:21" ht="36" hidden="1">
      <c r="A46" s="22">
        <v>8</v>
      </c>
      <c r="B46" s="22" t="str">
        <f t="shared" si="0"/>
        <v>1070165336R000 RETENCION IMPUESTO A LA RENTA</v>
      </c>
      <c r="C46" s="22" t="s">
        <v>47</v>
      </c>
      <c r="D46" s="22" t="s">
        <v>130</v>
      </c>
      <c r="E46" s="22" t="s">
        <v>49</v>
      </c>
      <c r="F46" s="52">
        <v>44623</v>
      </c>
      <c r="G46" s="53">
        <v>4099</v>
      </c>
      <c r="H46" s="68" t="s">
        <v>604</v>
      </c>
      <c r="I46" s="22" t="s">
        <v>113</v>
      </c>
      <c r="J46" s="22" t="s">
        <v>114</v>
      </c>
      <c r="K46" s="22" t="s">
        <v>62</v>
      </c>
      <c r="L46" s="22">
        <v>0</v>
      </c>
      <c r="M46" s="53">
        <v>0</v>
      </c>
      <c r="N46" s="53">
        <v>131.63</v>
      </c>
      <c r="O46" s="23">
        <v>-131.63</v>
      </c>
      <c r="Q46" s="26" t="str">
        <f t="shared" si="1"/>
        <v>01</v>
      </c>
      <c r="R46" s="26" t="str">
        <f t="shared" si="2"/>
        <v>05</v>
      </c>
      <c r="S46" s="26" t="str">
        <f t="shared" si="3"/>
        <v>2026</v>
      </c>
      <c r="T46" s="26" t="str">
        <f t="shared" si="4"/>
        <v>01/05/2026</v>
      </c>
      <c r="U46" s="63">
        <f t="shared" si="5"/>
        <v>46173</v>
      </c>
    </row>
    <row r="47" spans="1:21" ht="18" hidden="1">
      <c r="A47" s="22">
        <v>9</v>
      </c>
      <c r="B47" s="22" t="str">
        <f t="shared" si="0"/>
        <v>1070680748A000 SUELDO BASICO</v>
      </c>
      <c r="C47" s="22" t="s">
        <v>53</v>
      </c>
      <c r="D47" s="22" t="s">
        <v>140</v>
      </c>
      <c r="E47" s="22" t="s">
        <v>54</v>
      </c>
      <c r="F47" s="52">
        <v>44879</v>
      </c>
      <c r="G47" s="53">
        <v>6125</v>
      </c>
      <c r="H47" s="68" t="s">
        <v>604</v>
      </c>
      <c r="I47" s="22" t="s">
        <v>105</v>
      </c>
      <c r="J47" s="22" t="s">
        <v>106</v>
      </c>
      <c r="K47" s="22" t="s">
        <v>61</v>
      </c>
      <c r="L47" s="22">
        <v>152</v>
      </c>
      <c r="M47" s="53">
        <v>3879.17</v>
      </c>
      <c r="N47" s="53">
        <v>0</v>
      </c>
      <c r="O47" s="64">
        <v>3879.17</v>
      </c>
      <c r="Q47" s="26" t="str">
        <f t="shared" si="1"/>
        <v>01</v>
      </c>
      <c r="R47" s="26" t="str">
        <f t="shared" si="2"/>
        <v>05</v>
      </c>
      <c r="S47" s="26" t="str">
        <f t="shared" si="3"/>
        <v>2026</v>
      </c>
      <c r="T47" s="26" t="str">
        <f t="shared" si="4"/>
        <v>01/05/2026</v>
      </c>
      <c r="U47" s="63">
        <f t="shared" si="5"/>
        <v>46173</v>
      </c>
    </row>
    <row r="48" spans="1:21" ht="27" hidden="1">
      <c r="A48" s="22">
        <v>9</v>
      </c>
      <c r="B48" s="22" t="str">
        <f t="shared" si="0"/>
        <v>1070680748A012 ASIGNACION FAMILIAR</v>
      </c>
      <c r="C48" s="22" t="s">
        <v>53</v>
      </c>
      <c r="D48" s="22" t="s">
        <v>140</v>
      </c>
      <c r="E48" s="22" t="s">
        <v>54</v>
      </c>
      <c r="F48" s="52">
        <v>44879</v>
      </c>
      <c r="G48" s="53">
        <v>6125</v>
      </c>
      <c r="H48" s="68" t="s">
        <v>604</v>
      </c>
      <c r="I48" s="22" t="s">
        <v>120</v>
      </c>
      <c r="J48" s="22" t="s">
        <v>121</v>
      </c>
      <c r="K48" s="22" t="s">
        <v>66</v>
      </c>
      <c r="L48" s="22">
        <v>0</v>
      </c>
      <c r="M48" s="53">
        <v>113</v>
      </c>
      <c r="N48" s="53">
        <v>0</v>
      </c>
      <c r="O48" s="64">
        <v>113</v>
      </c>
      <c r="Q48" s="26" t="str">
        <f t="shared" si="1"/>
        <v>01</v>
      </c>
      <c r="R48" s="26" t="str">
        <f t="shared" si="2"/>
        <v>05</v>
      </c>
      <c r="S48" s="26" t="str">
        <f t="shared" si="3"/>
        <v>2026</v>
      </c>
      <c r="T48" s="26" t="str">
        <f t="shared" si="4"/>
        <v>01/05/2026</v>
      </c>
      <c r="U48" s="63">
        <f t="shared" si="5"/>
        <v>46173</v>
      </c>
    </row>
    <row r="49" spans="1:21" ht="18" hidden="1">
      <c r="A49" s="22">
        <v>9</v>
      </c>
      <c r="B49" s="22" t="str">
        <f t="shared" si="0"/>
        <v>1070680748G006 VACACIONES</v>
      </c>
      <c r="C49" s="22" t="s">
        <v>53</v>
      </c>
      <c r="D49" s="22" t="s">
        <v>140</v>
      </c>
      <c r="E49" s="22" t="s">
        <v>54</v>
      </c>
      <c r="F49" s="52">
        <v>44879</v>
      </c>
      <c r="G49" s="53">
        <v>6125</v>
      </c>
      <c r="H49" s="68" t="s">
        <v>604</v>
      </c>
      <c r="I49" s="22" t="s">
        <v>122</v>
      </c>
      <c r="J49" s="22" t="s">
        <v>123</v>
      </c>
      <c r="K49" s="22" t="s">
        <v>76</v>
      </c>
      <c r="L49" s="22">
        <v>88</v>
      </c>
      <c r="M49" s="53">
        <v>2245.83</v>
      </c>
      <c r="N49" s="53">
        <v>0</v>
      </c>
      <c r="O49" s="64">
        <v>2245.83</v>
      </c>
      <c r="Q49" s="26" t="str">
        <f t="shared" si="1"/>
        <v>01</v>
      </c>
      <c r="R49" s="26" t="str">
        <f t="shared" si="2"/>
        <v>05</v>
      </c>
      <c r="S49" s="26" t="str">
        <f t="shared" si="3"/>
        <v>2026</v>
      </c>
      <c r="T49" s="26" t="str">
        <f t="shared" si="4"/>
        <v>01/05/2026</v>
      </c>
      <c r="U49" s="63">
        <f t="shared" si="5"/>
        <v>46173</v>
      </c>
    </row>
    <row r="50" spans="1:21" ht="27" hidden="1">
      <c r="A50" s="22">
        <v>9</v>
      </c>
      <c r="B50" s="22" t="str">
        <f t="shared" si="0"/>
        <v>1070680748I100 APORTE OBLIGATORIO AFP</v>
      </c>
      <c r="C50" s="22" t="s">
        <v>53</v>
      </c>
      <c r="D50" s="22" t="s">
        <v>140</v>
      </c>
      <c r="E50" s="22" t="s">
        <v>54</v>
      </c>
      <c r="F50" s="52">
        <v>44879</v>
      </c>
      <c r="G50" s="53">
        <v>6125</v>
      </c>
      <c r="H50" s="68" t="s">
        <v>604</v>
      </c>
      <c r="I50" s="22" t="s">
        <v>107</v>
      </c>
      <c r="J50" s="22" t="s">
        <v>108</v>
      </c>
      <c r="K50" s="22" t="s">
        <v>88</v>
      </c>
      <c r="L50" s="22">
        <v>0</v>
      </c>
      <c r="M50" s="53">
        <v>0</v>
      </c>
      <c r="N50" s="53">
        <v>810.94</v>
      </c>
      <c r="O50" s="23">
        <v>-810.94</v>
      </c>
      <c r="Q50" s="26" t="str">
        <f t="shared" si="1"/>
        <v>01</v>
      </c>
      <c r="R50" s="26" t="str">
        <f t="shared" si="2"/>
        <v>05</v>
      </c>
      <c r="S50" s="26" t="str">
        <f t="shared" si="3"/>
        <v>2026</v>
      </c>
      <c r="T50" s="26" t="str">
        <f t="shared" si="4"/>
        <v>01/05/2026</v>
      </c>
      <c r="U50" s="63">
        <f t="shared" si="5"/>
        <v>46173</v>
      </c>
    </row>
    <row r="51" spans="1:21" ht="36" hidden="1">
      <c r="A51" s="22">
        <v>9</v>
      </c>
      <c r="B51" s="22" t="str">
        <f t="shared" si="0"/>
        <v>1070680748R000 RETENCION IMPUESTO A LA RENTA</v>
      </c>
      <c r="C51" s="22" t="s">
        <v>53</v>
      </c>
      <c r="D51" s="22" t="s">
        <v>140</v>
      </c>
      <c r="E51" s="22" t="s">
        <v>54</v>
      </c>
      <c r="F51" s="52">
        <v>44879</v>
      </c>
      <c r="G51" s="53">
        <v>6125</v>
      </c>
      <c r="H51" s="68" t="s">
        <v>604</v>
      </c>
      <c r="I51" s="22" t="s">
        <v>113</v>
      </c>
      <c r="J51" s="22" t="s">
        <v>114</v>
      </c>
      <c r="K51" s="22" t="s">
        <v>62</v>
      </c>
      <c r="L51" s="22">
        <v>0</v>
      </c>
      <c r="M51" s="53">
        <v>0</v>
      </c>
      <c r="N51" s="53">
        <v>440.35</v>
      </c>
      <c r="O51" s="23">
        <v>-440.35</v>
      </c>
      <c r="Q51" s="26" t="str">
        <f t="shared" si="1"/>
        <v>01</v>
      </c>
      <c r="R51" s="26" t="str">
        <f t="shared" si="2"/>
        <v>05</v>
      </c>
      <c r="S51" s="26" t="str">
        <f t="shared" si="3"/>
        <v>2026</v>
      </c>
      <c r="T51" s="26" t="str">
        <f t="shared" si="4"/>
        <v>01/05/2026</v>
      </c>
      <c r="U51" s="63">
        <f t="shared" si="5"/>
        <v>46173</v>
      </c>
    </row>
    <row r="52" spans="1:21" ht="18" hidden="1">
      <c r="A52" s="22">
        <v>10</v>
      </c>
      <c r="B52" s="22" t="str">
        <f t="shared" si="0"/>
        <v>1072251509A000 SUELDO BASICO</v>
      </c>
      <c r="C52" s="22" t="s">
        <v>58</v>
      </c>
      <c r="D52" s="22" t="s">
        <v>133</v>
      </c>
      <c r="E52" s="22" t="s">
        <v>60</v>
      </c>
      <c r="F52" s="52">
        <v>43241</v>
      </c>
      <c r="G52" s="53">
        <v>4631</v>
      </c>
      <c r="H52" s="68" t="s">
        <v>604</v>
      </c>
      <c r="I52" s="22" t="s">
        <v>105</v>
      </c>
      <c r="J52" s="22" t="s">
        <v>106</v>
      </c>
      <c r="K52" s="22" t="s">
        <v>61</v>
      </c>
      <c r="L52" s="22">
        <v>168</v>
      </c>
      <c r="M52" s="53">
        <v>3241.7</v>
      </c>
      <c r="N52" s="53">
        <v>0</v>
      </c>
      <c r="O52" s="64">
        <v>3241.7</v>
      </c>
      <c r="Q52" s="26" t="str">
        <f t="shared" si="1"/>
        <v>01</v>
      </c>
      <c r="R52" s="26" t="str">
        <f t="shared" si="2"/>
        <v>05</v>
      </c>
      <c r="S52" s="26" t="str">
        <f t="shared" si="3"/>
        <v>2026</v>
      </c>
      <c r="T52" s="26" t="str">
        <f t="shared" si="4"/>
        <v>01/05/2026</v>
      </c>
      <c r="U52" s="63">
        <f t="shared" si="5"/>
        <v>46173</v>
      </c>
    </row>
    <row r="53" spans="1:21" ht="27" hidden="1">
      <c r="A53" s="22">
        <v>10</v>
      </c>
      <c r="B53" s="22" t="str">
        <f t="shared" si="0"/>
        <v>1072251509A012 ASIGNACION FAMILIAR</v>
      </c>
      <c r="C53" s="22" t="s">
        <v>58</v>
      </c>
      <c r="D53" s="22" t="s">
        <v>133</v>
      </c>
      <c r="E53" s="22" t="s">
        <v>60</v>
      </c>
      <c r="F53" s="52">
        <v>43241</v>
      </c>
      <c r="G53" s="53">
        <v>4631</v>
      </c>
      <c r="H53" s="68" t="s">
        <v>604</v>
      </c>
      <c r="I53" s="22" t="s">
        <v>120</v>
      </c>
      <c r="J53" s="22" t="s">
        <v>121</v>
      </c>
      <c r="K53" s="22" t="s">
        <v>66</v>
      </c>
      <c r="L53" s="22">
        <v>0</v>
      </c>
      <c r="M53" s="53">
        <v>113</v>
      </c>
      <c r="N53" s="53">
        <v>0</v>
      </c>
      <c r="O53" s="64">
        <v>113</v>
      </c>
      <c r="Q53" s="26" t="str">
        <f t="shared" si="1"/>
        <v>01</v>
      </c>
      <c r="R53" s="26" t="str">
        <f t="shared" si="2"/>
        <v>05</v>
      </c>
      <c r="S53" s="26" t="str">
        <f t="shared" si="3"/>
        <v>2026</v>
      </c>
      <c r="T53" s="26" t="str">
        <f t="shared" si="4"/>
        <v>01/05/2026</v>
      </c>
      <c r="U53" s="63">
        <f t="shared" si="5"/>
        <v>46173</v>
      </c>
    </row>
    <row r="54" spans="1:21" ht="27" hidden="1">
      <c r="A54" s="22">
        <v>10</v>
      </c>
      <c r="B54" s="22" t="str">
        <f t="shared" si="0"/>
        <v>1072251509D013 AUXILIO DE MOVILIDAD</v>
      </c>
      <c r="C54" s="22" t="s">
        <v>58</v>
      </c>
      <c r="D54" s="22" t="s">
        <v>133</v>
      </c>
      <c r="E54" s="22" t="s">
        <v>60</v>
      </c>
      <c r="F54" s="52">
        <v>43241</v>
      </c>
      <c r="G54" s="53">
        <v>4631</v>
      </c>
      <c r="H54" s="68" t="s">
        <v>604</v>
      </c>
      <c r="I54" s="22" t="s">
        <v>118</v>
      </c>
      <c r="J54" s="22" t="s">
        <v>119</v>
      </c>
      <c r="K54" s="22" t="s">
        <v>72</v>
      </c>
      <c r="L54" s="22">
        <v>0</v>
      </c>
      <c r="M54" s="53">
        <v>32</v>
      </c>
      <c r="N54" s="53">
        <v>0</v>
      </c>
      <c r="O54" s="64">
        <v>32</v>
      </c>
      <c r="Q54" s="26" t="str">
        <f t="shared" si="1"/>
        <v>01</v>
      </c>
      <c r="R54" s="26" t="str">
        <f t="shared" si="2"/>
        <v>05</v>
      </c>
      <c r="S54" s="26" t="str">
        <f t="shared" si="3"/>
        <v>2026</v>
      </c>
      <c r="T54" s="26" t="str">
        <f t="shared" si="4"/>
        <v>01/05/2026</v>
      </c>
      <c r="U54" s="63">
        <f t="shared" si="5"/>
        <v>46173</v>
      </c>
    </row>
    <row r="55" spans="1:21" ht="18" hidden="1">
      <c r="A55" s="22">
        <v>10</v>
      </c>
      <c r="B55" s="22" t="str">
        <f t="shared" si="0"/>
        <v>1072251509G006 VACACIONES</v>
      </c>
      <c r="C55" s="22" t="s">
        <v>58</v>
      </c>
      <c r="D55" s="22" t="s">
        <v>133</v>
      </c>
      <c r="E55" s="22" t="s">
        <v>60</v>
      </c>
      <c r="F55" s="52">
        <v>43241</v>
      </c>
      <c r="G55" s="53">
        <v>4631</v>
      </c>
      <c r="H55" s="68" t="s">
        <v>604</v>
      </c>
      <c r="I55" s="22" t="s">
        <v>122</v>
      </c>
      <c r="J55" s="22" t="s">
        <v>123</v>
      </c>
      <c r="K55" s="22" t="s">
        <v>76</v>
      </c>
      <c r="L55" s="22">
        <v>72</v>
      </c>
      <c r="M55" s="53">
        <v>1389.3</v>
      </c>
      <c r="N55" s="53">
        <v>0</v>
      </c>
      <c r="O55" s="64">
        <v>1389.3</v>
      </c>
      <c r="Q55" s="26" t="str">
        <f t="shared" si="1"/>
        <v>01</v>
      </c>
      <c r="R55" s="26" t="str">
        <f t="shared" si="2"/>
        <v>05</v>
      </c>
      <c r="S55" s="26" t="str">
        <f t="shared" si="3"/>
        <v>2026</v>
      </c>
      <c r="T55" s="26" t="str">
        <f t="shared" si="4"/>
        <v>01/05/2026</v>
      </c>
      <c r="U55" s="63">
        <f t="shared" si="5"/>
        <v>46173</v>
      </c>
    </row>
    <row r="56" spans="1:21" ht="27" hidden="1">
      <c r="A56" s="22">
        <v>10</v>
      </c>
      <c r="B56" s="22" t="str">
        <f t="shared" si="0"/>
        <v>1072251509I100 APORTE OBLIGATORIO AFP</v>
      </c>
      <c r="C56" s="22" t="s">
        <v>58</v>
      </c>
      <c r="D56" s="22" t="s">
        <v>133</v>
      </c>
      <c r="E56" s="22" t="s">
        <v>60</v>
      </c>
      <c r="F56" s="52">
        <v>43241</v>
      </c>
      <c r="G56" s="53">
        <v>4631</v>
      </c>
      <c r="H56" s="68" t="s">
        <v>604</v>
      </c>
      <c r="I56" s="22" t="s">
        <v>107</v>
      </c>
      <c r="J56" s="22" t="s">
        <v>108</v>
      </c>
      <c r="K56" s="22" t="s">
        <v>88</v>
      </c>
      <c r="L56" s="22">
        <v>0</v>
      </c>
      <c r="M56" s="53">
        <v>0</v>
      </c>
      <c r="N56" s="53">
        <v>474.4</v>
      </c>
      <c r="O56" s="23">
        <v>-474.4</v>
      </c>
      <c r="Q56" s="26" t="str">
        <f t="shared" si="1"/>
        <v>01</v>
      </c>
      <c r="R56" s="26" t="str">
        <f t="shared" si="2"/>
        <v>05</v>
      </c>
      <c r="S56" s="26" t="str">
        <f t="shared" si="3"/>
        <v>2026</v>
      </c>
      <c r="T56" s="26" t="str">
        <f t="shared" si="4"/>
        <v>01/05/2026</v>
      </c>
      <c r="U56" s="63">
        <f t="shared" si="5"/>
        <v>46173</v>
      </c>
    </row>
    <row r="57" spans="1:21" ht="27" hidden="1">
      <c r="A57" s="22">
        <v>10</v>
      </c>
      <c r="B57" s="22" t="str">
        <f t="shared" si="0"/>
        <v>1072251509I200 SOBREVIVENCIA AFP</v>
      </c>
      <c r="C57" s="22" t="s">
        <v>58</v>
      </c>
      <c r="D57" s="22" t="s">
        <v>133</v>
      </c>
      <c r="E57" s="22" t="s">
        <v>60</v>
      </c>
      <c r="F57" s="52">
        <v>43241</v>
      </c>
      <c r="G57" s="53">
        <v>4631</v>
      </c>
      <c r="H57" s="68" t="s">
        <v>604</v>
      </c>
      <c r="I57" s="22" t="s">
        <v>109</v>
      </c>
      <c r="J57" s="22" t="s">
        <v>110</v>
      </c>
      <c r="K57" s="22" t="s">
        <v>89</v>
      </c>
      <c r="L57" s="22">
        <v>0</v>
      </c>
      <c r="M57" s="53">
        <v>0</v>
      </c>
      <c r="N57" s="53">
        <v>64.989999999999995</v>
      </c>
      <c r="O57" s="23">
        <v>-64.989999999999995</v>
      </c>
      <c r="Q57" s="26" t="str">
        <f t="shared" si="1"/>
        <v>01</v>
      </c>
      <c r="R57" s="26" t="str">
        <f t="shared" si="2"/>
        <v>05</v>
      </c>
      <c r="S57" s="26" t="str">
        <f t="shared" si="3"/>
        <v>2026</v>
      </c>
      <c r="T57" s="26" t="str">
        <f t="shared" si="4"/>
        <v>01/05/2026</v>
      </c>
      <c r="U57" s="63">
        <f t="shared" si="5"/>
        <v>46173</v>
      </c>
    </row>
    <row r="58" spans="1:21" ht="36" hidden="1">
      <c r="A58" s="22">
        <v>10</v>
      </c>
      <c r="B58" s="22" t="str">
        <f t="shared" si="0"/>
        <v>1072251509R000 RETENCION IMPUESTO A LA RENTA</v>
      </c>
      <c r="C58" s="22" t="s">
        <v>58</v>
      </c>
      <c r="D58" s="22" t="s">
        <v>133</v>
      </c>
      <c r="E58" s="22" t="s">
        <v>60</v>
      </c>
      <c r="F58" s="52">
        <v>43241</v>
      </c>
      <c r="G58" s="53">
        <v>4631</v>
      </c>
      <c r="H58" s="68" t="s">
        <v>604</v>
      </c>
      <c r="I58" s="22" t="s">
        <v>113</v>
      </c>
      <c r="J58" s="22" t="s">
        <v>114</v>
      </c>
      <c r="K58" s="22" t="s">
        <v>62</v>
      </c>
      <c r="L58" s="22">
        <v>0</v>
      </c>
      <c r="M58" s="53">
        <v>0</v>
      </c>
      <c r="N58" s="53">
        <v>197.7</v>
      </c>
      <c r="O58" s="23">
        <v>-197.7</v>
      </c>
      <c r="Q58" s="26" t="str">
        <f t="shared" si="1"/>
        <v>01</v>
      </c>
      <c r="R58" s="26" t="str">
        <f t="shared" si="2"/>
        <v>05</v>
      </c>
      <c r="S58" s="26" t="str">
        <f t="shared" si="3"/>
        <v>2026</v>
      </c>
      <c r="T58" s="26" t="str">
        <f t="shared" si="4"/>
        <v>01/05/2026</v>
      </c>
      <c r="U58" s="63">
        <f t="shared" si="5"/>
        <v>46173</v>
      </c>
    </row>
    <row r="59" spans="1:21" ht="18" hidden="1">
      <c r="A59" s="22">
        <v>11</v>
      </c>
      <c r="B59" s="22" t="str">
        <f t="shared" si="0"/>
        <v>1077485287A000 SUELDO BASICO</v>
      </c>
      <c r="C59" s="22" t="s">
        <v>69</v>
      </c>
      <c r="D59" s="22" t="s">
        <v>115</v>
      </c>
      <c r="E59" s="22" t="s">
        <v>71</v>
      </c>
      <c r="F59" s="52">
        <v>45323</v>
      </c>
      <c r="G59" s="53">
        <v>2142</v>
      </c>
      <c r="H59" s="68" t="s">
        <v>604</v>
      </c>
      <c r="I59" s="22" t="s">
        <v>105</v>
      </c>
      <c r="J59" s="22" t="s">
        <v>106</v>
      </c>
      <c r="K59" s="22" t="s">
        <v>61</v>
      </c>
      <c r="L59" s="22">
        <v>240</v>
      </c>
      <c r="M59" s="53">
        <v>2142</v>
      </c>
      <c r="N59" s="53">
        <v>0</v>
      </c>
      <c r="O59" s="64">
        <v>2142</v>
      </c>
      <c r="Q59" s="26" t="str">
        <f t="shared" si="1"/>
        <v>01</v>
      </c>
      <c r="R59" s="26" t="str">
        <f t="shared" si="2"/>
        <v>05</v>
      </c>
      <c r="S59" s="26" t="str">
        <f t="shared" si="3"/>
        <v>2026</v>
      </c>
      <c r="T59" s="26" t="str">
        <f t="shared" si="4"/>
        <v>01/05/2026</v>
      </c>
      <c r="U59" s="63">
        <f t="shared" si="5"/>
        <v>46173</v>
      </c>
    </row>
    <row r="60" spans="1:21" ht="27" hidden="1">
      <c r="A60" s="22">
        <v>11</v>
      </c>
      <c r="B60" s="22" t="str">
        <f t="shared" si="0"/>
        <v>1077485287D013 AUXILIO DE MOVILIDAD</v>
      </c>
      <c r="C60" s="22" t="s">
        <v>69</v>
      </c>
      <c r="D60" s="22" t="s">
        <v>115</v>
      </c>
      <c r="E60" s="22" t="s">
        <v>71</v>
      </c>
      <c r="F60" s="52">
        <v>45323</v>
      </c>
      <c r="G60" s="53">
        <v>2142</v>
      </c>
      <c r="H60" s="68" t="s">
        <v>604</v>
      </c>
      <c r="I60" s="22" t="s">
        <v>118</v>
      </c>
      <c r="J60" s="22" t="s">
        <v>119</v>
      </c>
      <c r="K60" s="22" t="s">
        <v>72</v>
      </c>
      <c r="L60" s="22">
        <v>0</v>
      </c>
      <c r="M60" s="53">
        <v>48</v>
      </c>
      <c r="N60" s="53">
        <v>0</v>
      </c>
      <c r="O60" s="64">
        <v>48</v>
      </c>
      <c r="Q60" s="26" t="str">
        <f t="shared" si="1"/>
        <v>01</v>
      </c>
      <c r="R60" s="26" t="str">
        <f t="shared" si="2"/>
        <v>05</v>
      </c>
      <c r="S60" s="26" t="str">
        <f t="shared" si="3"/>
        <v>2026</v>
      </c>
      <c r="T60" s="26" t="str">
        <f t="shared" si="4"/>
        <v>01/05/2026</v>
      </c>
      <c r="U60" s="63">
        <f t="shared" si="5"/>
        <v>46173</v>
      </c>
    </row>
    <row r="61" spans="1:21" ht="27" hidden="1">
      <c r="A61" s="22">
        <v>11</v>
      </c>
      <c r="B61" s="22" t="str">
        <f t="shared" si="0"/>
        <v>1077485287I100 APORTE OBLIGATORIO AFP</v>
      </c>
      <c r="C61" s="22" t="s">
        <v>69</v>
      </c>
      <c r="D61" s="22" t="s">
        <v>115</v>
      </c>
      <c r="E61" s="22" t="s">
        <v>71</v>
      </c>
      <c r="F61" s="52">
        <v>45323</v>
      </c>
      <c r="G61" s="53">
        <v>2142</v>
      </c>
      <c r="H61" s="68" t="s">
        <v>604</v>
      </c>
      <c r="I61" s="22" t="s">
        <v>107</v>
      </c>
      <c r="J61" s="22" t="s">
        <v>108</v>
      </c>
      <c r="K61" s="22" t="s">
        <v>88</v>
      </c>
      <c r="L61" s="22">
        <v>0</v>
      </c>
      <c r="M61" s="53">
        <v>0</v>
      </c>
      <c r="N61" s="53">
        <v>214.2</v>
      </c>
      <c r="O61" s="23">
        <v>-214.2</v>
      </c>
      <c r="Q61" s="26" t="str">
        <f t="shared" si="1"/>
        <v>01</v>
      </c>
      <c r="R61" s="26" t="str">
        <f t="shared" si="2"/>
        <v>05</v>
      </c>
      <c r="S61" s="26" t="str">
        <f t="shared" si="3"/>
        <v>2026</v>
      </c>
      <c r="T61" s="26" t="str">
        <f t="shared" si="4"/>
        <v>01/05/2026</v>
      </c>
      <c r="U61" s="63">
        <f t="shared" si="5"/>
        <v>46173</v>
      </c>
    </row>
    <row r="62" spans="1:21" ht="27" hidden="1">
      <c r="A62" s="22">
        <v>11</v>
      </c>
      <c r="B62" s="22" t="str">
        <f t="shared" si="0"/>
        <v>1077485287I200 SOBREVIVENCIA AFP</v>
      </c>
      <c r="C62" s="22" t="s">
        <v>69</v>
      </c>
      <c r="D62" s="22" t="s">
        <v>115</v>
      </c>
      <c r="E62" s="22" t="s">
        <v>71</v>
      </c>
      <c r="F62" s="52">
        <v>45323</v>
      </c>
      <c r="G62" s="53">
        <v>2142</v>
      </c>
      <c r="H62" s="68" t="s">
        <v>604</v>
      </c>
      <c r="I62" s="22" t="s">
        <v>109</v>
      </c>
      <c r="J62" s="22" t="s">
        <v>110</v>
      </c>
      <c r="K62" s="22" t="s">
        <v>89</v>
      </c>
      <c r="L62" s="22">
        <v>0</v>
      </c>
      <c r="M62" s="53">
        <v>0</v>
      </c>
      <c r="N62" s="53">
        <v>29.35</v>
      </c>
      <c r="O62" s="23">
        <v>-29.35</v>
      </c>
      <c r="Q62" s="26" t="str">
        <f t="shared" si="1"/>
        <v>01</v>
      </c>
      <c r="R62" s="26" t="str">
        <f t="shared" si="2"/>
        <v>05</v>
      </c>
      <c r="S62" s="26" t="str">
        <f t="shared" si="3"/>
        <v>2026</v>
      </c>
      <c r="T62" s="26" t="str">
        <f t="shared" si="4"/>
        <v>01/05/2026</v>
      </c>
      <c r="U62" s="63">
        <f t="shared" si="5"/>
        <v>46173</v>
      </c>
    </row>
    <row r="63" spans="1:21" ht="18" hidden="1">
      <c r="A63" s="22">
        <v>12</v>
      </c>
      <c r="B63" s="22" t="str">
        <f t="shared" si="0"/>
        <v>2001252358A000 SUELDO BASICO</v>
      </c>
      <c r="C63" s="22" t="s">
        <v>73</v>
      </c>
      <c r="D63" s="22" t="s">
        <v>136</v>
      </c>
      <c r="E63" s="22" t="s">
        <v>75</v>
      </c>
      <c r="F63" s="52">
        <v>42438</v>
      </c>
      <c r="G63" s="53">
        <v>6644</v>
      </c>
      <c r="H63" s="68" t="s">
        <v>604</v>
      </c>
      <c r="I63" s="22" t="s">
        <v>105</v>
      </c>
      <c r="J63" s="22" t="s">
        <v>106</v>
      </c>
      <c r="K63" s="22" t="s">
        <v>61</v>
      </c>
      <c r="L63" s="22">
        <v>240</v>
      </c>
      <c r="M63" s="53">
        <v>6644</v>
      </c>
      <c r="N63" s="53">
        <v>0</v>
      </c>
      <c r="O63" s="64">
        <v>6644</v>
      </c>
      <c r="Q63" s="26" t="str">
        <f t="shared" si="1"/>
        <v>01</v>
      </c>
      <c r="R63" s="26" t="str">
        <f t="shared" si="2"/>
        <v>05</v>
      </c>
      <c r="S63" s="26" t="str">
        <f t="shared" si="3"/>
        <v>2026</v>
      </c>
      <c r="T63" s="26" t="str">
        <f t="shared" si="4"/>
        <v>01/05/2026</v>
      </c>
      <c r="U63" s="63">
        <f t="shared" si="5"/>
        <v>46173</v>
      </c>
    </row>
    <row r="64" spans="1:21" ht="27" hidden="1">
      <c r="A64" s="22">
        <v>12</v>
      </c>
      <c r="B64" s="22" t="str">
        <f t="shared" si="0"/>
        <v>2001252358D013 AUXILIO DE MOVILIDAD</v>
      </c>
      <c r="C64" s="22" t="s">
        <v>73</v>
      </c>
      <c r="D64" s="22" t="s">
        <v>136</v>
      </c>
      <c r="E64" s="22" t="s">
        <v>75</v>
      </c>
      <c r="F64" s="52">
        <v>42438</v>
      </c>
      <c r="G64" s="53">
        <v>6644</v>
      </c>
      <c r="H64" s="68" t="s">
        <v>604</v>
      </c>
      <c r="I64" s="22" t="s">
        <v>118</v>
      </c>
      <c r="J64" s="22" t="s">
        <v>119</v>
      </c>
      <c r="K64" s="22" t="s">
        <v>72</v>
      </c>
      <c r="L64" s="22">
        <v>0</v>
      </c>
      <c r="M64" s="53">
        <v>48</v>
      </c>
      <c r="N64" s="53">
        <v>0</v>
      </c>
      <c r="O64" s="64">
        <v>48</v>
      </c>
      <c r="Q64" s="26" t="str">
        <f t="shared" si="1"/>
        <v>01</v>
      </c>
      <c r="R64" s="26" t="str">
        <f t="shared" si="2"/>
        <v>05</v>
      </c>
      <c r="S64" s="26" t="str">
        <f t="shared" si="3"/>
        <v>2026</v>
      </c>
      <c r="T64" s="26" t="str">
        <f t="shared" si="4"/>
        <v>01/05/2026</v>
      </c>
      <c r="U64" s="63">
        <f t="shared" si="5"/>
        <v>46173</v>
      </c>
    </row>
    <row r="65" spans="1:21" ht="27" hidden="1">
      <c r="A65" s="22">
        <v>12</v>
      </c>
      <c r="B65" s="22" t="str">
        <f t="shared" si="0"/>
        <v>2001252358I100 APORTE OBLIGATORIO AFP</v>
      </c>
      <c r="C65" s="22" t="s">
        <v>73</v>
      </c>
      <c r="D65" s="22" t="s">
        <v>136</v>
      </c>
      <c r="E65" s="22" t="s">
        <v>75</v>
      </c>
      <c r="F65" s="52">
        <v>42438</v>
      </c>
      <c r="G65" s="53">
        <v>6644</v>
      </c>
      <c r="H65" s="68" t="s">
        <v>604</v>
      </c>
      <c r="I65" s="22" t="s">
        <v>107</v>
      </c>
      <c r="J65" s="22" t="s">
        <v>108</v>
      </c>
      <c r="K65" s="22" t="s">
        <v>88</v>
      </c>
      <c r="L65" s="22">
        <v>0</v>
      </c>
      <c r="M65" s="53">
        <v>0</v>
      </c>
      <c r="N65" s="53">
        <v>664.4</v>
      </c>
      <c r="O65" s="23">
        <v>-664.4</v>
      </c>
      <c r="Q65" s="26" t="str">
        <f t="shared" si="1"/>
        <v>01</v>
      </c>
      <c r="R65" s="26" t="str">
        <f t="shared" si="2"/>
        <v>05</v>
      </c>
      <c r="S65" s="26" t="str">
        <f t="shared" si="3"/>
        <v>2026</v>
      </c>
      <c r="T65" s="26" t="str">
        <f t="shared" si="4"/>
        <v>01/05/2026</v>
      </c>
      <c r="U65" s="63">
        <f t="shared" si="5"/>
        <v>46173</v>
      </c>
    </row>
    <row r="66" spans="1:21" ht="27" hidden="1">
      <c r="A66" s="22">
        <v>12</v>
      </c>
      <c r="B66" s="22" t="str">
        <f t="shared" si="0"/>
        <v>2001252358I200 SOBREVIVENCIA AFP</v>
      </c>
      <c r="C66" s="22" t="s">
        <v>73</v>
      </c>
      <c r="D66" s="22" t="s">
        <v>136</v>
      </c>
      <c r="E66" s="22" t="s">
        <v>75</v>
      </c>
      <c r="F66" s="52">
        <v>42438</v>
      </c>
      <c r="G66" s="53">
        <v>6644</v>
      </c>
      <c r="H66" s="68" t="s">
        <v>604</v>
      </c>
      <c r="I66" s="22" t="s">
        <v>109</v>
      </c>
      <c r="J66" s="22" t="s">
        <v>110</v>
      </c>
      <c r="K66" s="22" t="s">
        <v>89</v>
      </c>
      <c r="L66" s="22">
        <v>0</v>
      </c>
      <c r="M66" s="53">
        <v>0</v>
      </c>
      <c r="N66" s="53">
        <v>91.02</v>
      </c>
      <c r="O66" s="23">
        <v>-91.02</v>
      </c>
      <c r="Q66" s="26" t="str">
        <f t="shared" si="1"/>
        <v>01</v>
      </c>
      <c r="R66" s="26" t="str">
        <f t="shared" si="2"/>
        <v>05</v>
      </c>
      <c r="S66" s="26" t="str">
        <f t="shared" si="3"/>
        <v>2026</v>
      </c>
      <c r="T66" s="26" t="str">
        <f t="shared" si="4"/>
        <v>01/05/2026</v>
      </c>
      <c r="U66" s="63">
        <f t="shared" si="5"/>
        <v>46173</v>
      </c>
    </row>
    <row r="67" spans="1:21" ht="36" hidden="1">
      <c r="A67" s="22">
        <v>12</v>
      </c>
      <c r="B67" s="22" t="str">
        <f t="shared" ref="B67:B86" si="6">+CONCATENATE($C67,$K67)</f>
        <v>2001252358R000 RETENCION IMPUESTO A LA RENTA</v>
      </c>
      <c r="C67" s="22" t="s">
        <v>73</v>
      </c>
      <c r="D67" s="22" t="s">
        <v>136</v>
      </c>
      <c r="E67" s="22" t="s">
        <v>75</v>
      </c>
      <c r="F67" s="52">
        <v>42438</v>
      </c>
      <c r="G67" s="53">
        <v>6644</v>
      </c>
      <c r="H67" s="68" t="s">
        <v>604</v>
      </c>
      <c r="I67" s="22" t="s">
        <v>113</v>
      </c>
      <c r="J67" s="22" t="s">
        <v>114</v>
      </c>
      <c r="K67" s="22" t="s">
        <v>62</v>
      </c>
      <c r="L67" s="22">
        <v>0</v>
      </c>
      <c r="M67" s="53">
        <v>0</v>
      </c>
      <c r="N67" s="53">
        <v>513.58000000000004</v>
      </c>
      <c r="O67" s="23">
        <v>-513.58000000000004</v>
      </c>
      <c r="Q67" s="26" t="str">
        <f t="shared" ref="Q67:Q86" si="7">MID(H67,7,"2")</f>
        <v>01</v>
      </c>
      <c r="R67" s="26" t="str">
        <f t="shared" ref="R67:R86" si="8">MID(H67,5,2)</f>
        <v>05</v>
      </c>
      <c r="S67" s="26" t="str">
        <f t="shared" ref="S67:S86" si="9">MID(H67,1,4)</f>
        <v>2026</v>
      </c>
      <c r="T67" s="26" t="str">
        <f t="shared" ref="T67:T86" si="10">CONCATENATE(Q67,"/",R67,"/",S67)</f>
        <v>01/05/2026</v>
      </c>
      <c r="U67" s="63">
        <f t="shared" ref="U67:U86" si="11">$Z$1</f>
        <v>46173</v>
      </c>
    </row>
    <row r="68" spans="1:21" ht="18" hidden="1">
      <c r="A68" s="22">
        <v>13</v>
      </c>
      <c r="B68" s="22" t="str">
        <f t="shared" si="6"/>
        <v>42115329A000 SUELDO BASICO</v>
      </c>
      <c r="C68" s="22" t="s">
        <v>81</v>
      </c>
      <c r="D68" s="22" t="s">
        <v>141</v>
      </c>
      <c r="E68" s="22" t="s">
        <v>81</v>
      </c>
      <c r="F68" s="52">
        <v>45740</v>
      </c>
      <c r="G68" s="53">
        <v>3090</v>
      </c>
      <c r="H68" s="68" t="s">
        <v>604</v>
      </c>
      <c r="I68" s="22" t="s">
        <v>105</v>
      </c>
      <c r="J68" s="22" t="s">
        <v>106</v>
      </c>
      <c r="K68" s="22" t="s">
        <v>61</v>
      </c>
      <c r="L68" s="22">
        <v>240</v>
      </c>
      <c r="M68" s="53">
        <v>3090</v>
      </c>
      <c r="N68" s="53">
        <v>0</v>
      </c>
      <c r="O68" s="64">
        <v>3090</v>
      </c>
      <c r="Q68" s="26" t="str">
        <f t="shared" si="7"/>
        <v>01</v>
      </c>
      <c r="R68" s="26" t="str">
        <f t="shared" si="8"/>
        <v>05</v>
      </c>
      <c r="S68" s="26" t="str">
        <f t="shared" si="9"/>
        <v>2026</v>
      </c>
      <c r="T68" s="26" t="str">
        <f t="shared" si="10"/>
        <v>01/05/2026</v>
      </c>
      <c r="U68" s="63">
        <f t="shared" si="11"/>
        <v>46173</v>
      </c>
    </row>
    <row r="69" spans="1:21" ht="27" hidden="1">
      <c r="A69" s="22">
        <v>13</v>
      </c>
      <c r="B69" s="22" t="str">
        <f t="shared" si="6"/>
        <v>42115329D013 AUXILIO DE MOVILIDAD</v>
      </c>
      <c r="C69" s="22" t="s">
        <v>81</v>
      </c>
      <c r="D69" s="22" t="s">
        <v>141</v>
      </c>
      <c r="E69" s="22" t="s">
        <v>81</v>
      </c>
      <c r="F69" s="52">
        <v>45740</v>
      </c>
      <c r="G69" s="53">
        <v>3090</v>
      </c>
      <c r="H69" s="68" t="s">
        <v>604</v>
      </c>
      <c r="I69" s="22" t="s">
        <v>118</v>
      </c>
      <c r="J69" s="22" t="s">
        <v>119</v>
      </c>
      <c r="K69" s="22" t="s">
        <v>72</v>
      </c>
      <c r="L69" s="22">
        <v>0</v>
      </c>
      <c r="M69" s="53">
        <v>36</v>
      </c>
      <c r="N69" s="53">
        <v>0</v>
      </c>
      <c r="O69" s="64">
        <v>36</v>
      </c>
      <c r="Q69" s="26" t="str">
        <f t="shared" si="7"/>
        <v>01</v>
      </c>
      <c r="R69" s="26" t="str">
        <f t="shared" si="8"/>
        <v>05</v>
      </c>
      <c r="S69" s="26" t="str">
        <f t="shared" si="9"/>
        <v>2026</v>
      </c>
      <c r="T69" s="26" t="str">
        <f t="shared" si="10"/>
        <v>01/05/2026</v>
      </c>
      <c r="U69" s="63">
        <f t="shared" si="11"/>
        <v>46173</v>
      </c>
    </row>
    <row r="70" spans="1:21" ht="27" hidden="1">
      <c r="A70" s="22">
        <v>13</v>
      </c>
      <c r="B70" s="22" t="str">
        <f t="shared" si="6"/>
        <v>42115329I100 APORTE OBLIGATORIO AFP</v>
      </c>
      <c r="C70" s="22" t="s">
        <v>81</v>
      </c>
      <c r="D70" s="22" t="s">
        <v>141</v>
      </c>
      <c r="E70" s="22" t="s">
        <v>81</v>
      </c>
      <c r="F70" s="52">
        <v>45740</v>
      </c>
      <c r="G70" s="53">
        <v>3090</v>
      </c>
      <c r="H70" s="68" t="s">
        <v>604</v>
      </c>
      <c r="I70" s="22" t="s">
        <v>107</v>
      </c>
      <c r="J70" s="22" t="s">
        <v>108</v>
      </c>
      <c r="K70" s="22" t="s">
        <v>88</v>
      </c>
      <c r="L70" s="22">
        <v>0</v>
      </c>
      <c r="M70" s="53">
        <v>0</v>
      </c>
      <c r="N70" s="53">
        <v>309</v>
      </c>
      <c r="O70" s="23">
        <v>-309</v>
      </c>
      <c r="Q70" s="26" t="str">
        <f t="shared" si="7"/>
        <v>01</v>
      </c>
      <c r="R70" s="26" t="str">
        <f t="shared" si="8"/>
        <v>05</v>
      </c>
      <c r="S70" s="26" t="str">
        <f t="shared" si="9"/>
        <v>2026</v>
      </c>
      <c r="T70" s="26" t="str">
        <f t="shared" si="10"/>
        <v>01/05/2026</v>
      </c>
      <c r="U70" s="63">
        <f t="shared" si="11"/>
        <v>46173</v>
      </c>
    </row>
    <row r="71" spans="1:21" ht="27" hidden="1">
      <c r="A71" s="22">
        <v>13</v>
      </c>
      <c r="B71" s="22" t="str">
        <f t="shared" si="6"/>
        <v>42115329I200 SOBREVIVENCIA AFP</v>
      </c>
      <c r="C71" s="22" t="s">
        <v>81</v>
      </c>
      <c r="D71" s="22" t="s">
        <v>141</v>
      </c>
      <c r="E71" s="22" t="s">
        <v>81</v>
      </c>
      <c r="F71" s="52">
        <v>45740</v>
      </c>
      <c r="G71" s="53">
        <v>3090</v>
      </c>
      <c r="H71" s="68" t="s">
        <v>604</v>
      </c>
      <c r="I71" s="22" t="s">
        <v>109</v>
      </c>
      <c r="J71" s="22" t="s">
        <v>110</v>
      </c>
      <c r="K71" s="22" t="s">
        <v>89</v>
      </c>
      <c r="L71" s="22">
        <v>0</v>
      </c>
      <c r="M71" s="53">
        <v>0</v>
      </c>
      <c r="N71" s="53">
        <v>42.33</v>
      </c>
      <c r="O71" s="23">
        <v>-42.33</v>
      </c>
      <c r="Q71" s="26" t="str">
        <f t="shared" si="7"/>
        <v>01</v>
      </c>
      <c r="R71" s="26" t="str">
        <f t="shared" si="8"/>
        <v>05</v>
      </c>
      <c r="S71" s="26" t="str">
        <f t="shared" si="9"/>
        <v>2026</v>
      </c>
      <c r="T71" s="26" t="str">
        <f t="shared" si="10"/>
        <v>01/05/2026</v>
      </c>
      <c r="U71" s="63">
        <f t="shared" si="11"/>
        <v>46173</v>
      </c>
    </row>
    <row r="72" spans="1:21" ht="27" hidden="1">
      <c r="A72" s="22">
        <v>13</v>
      </c>
      <c r="B72" s="22" t="str">
        <f t="shared" si="6"/>
        <v>42115329I300 COMISION VARIABLE AFP</v>
      </c>
      <c r="C72" s="22" t="s">
        <v>81</v>
      </c>
      <c r="D72" s="22" t="s">
        <v>141</v>
      </c>
      <c r="E72" s="22" t="s">
        <v>81</v>
      </c>
      <c r="F72" s="52">
        <v>45740</v>
      </c>
      <c r="G72" s="53">
        <v>3090</v>
      </c>
      <c r="H72" s="68" t="s">
        <v>604</v>
      </c>
      <c r="I72" s="22" t="s">
        <v>126</v>
      </c>
      <c r="J72" s="22" t="s">
        <v>127</v>
      </c>
      <c r="K72" s="22" t="s">
        <v>90</v>
      </c>
      <c r="L72" s="22">
        <v>0</v>
      </c>
      <c r="M72" s="53">
        <v>0</v>
      </c>
      <c r="N72" s="53">
        <v>47.9</v>
      </c>
      <c r="O72" s="23">
        <v>-47.9</v>
      </c>
      <c r="Q72" s="26" t="str">
        <f t="shared" si="7"/>
        <v>01</v>
      </c>
      <c r="R72" s="26" t="str">
        <f t="shared" si="8"/>
        <v>05</v>
      </c>
      <c r="S72" s="26" t="str">
        <f t="shared" si="9"/>
        <v>2026</v>
      </c>
      <c r="T72" s="26" t="str">
        <f t="shared" si="10"/>
        <v>01/05/2026</v>
      </c>
      <c r="U72" s="63">
        <f t="shared" si="11"/>
        <v>46173</v>
      </c>
    </row>
    <row r="73" spans="1:21" ht="36" hidden="1">
      <c r="A73" s="22">
        <v>13</v>
      </c>
      <c r="B73" s="22" t="str">
        <f t="shared" si="6"/>
        <v>42115329R000 RETENCION IMPUESTO A LA RENTA</v>
      </c>
      <c r="C73" s="22" t="s">
        <v>81</v>
      </c>
      <c r="D73" s="22" t="s">
        <v>141</v>
      </c>
      <c r="E73" s="22" t="s">
        <v>81</v>
      </c>
      <c r="F73" s="52">
        <v>45740</v>
      </c>
      <c r="G73" s="53">
        <v>3090</v>
      </c>
      <c r="H73" s="68" t="s">
        <v>604</v>
      </c>
      <c r="I73" s="22" t="s">
        <v>113</v>
      </c>
      <c r="J73" s="22" t="s">
        <v>114</v>
      </c>
      <c r="K73" s="22" t="s">
        <v>62</v>
      </c>
      <c r="L73" s="22">
        <v>0</v>
      </c>
      <c r="M73" s="53">
        <v>0</v>
      </c>
      <c r="N73" s="53">
        <v>36.25</v>
      </c>
      <c r="O73" s="23">
        <v>-36.25</v>
      </c>
      <c r="Q73" s="26" t="str">
        <f t="shared" si="7"/>
        <v>01</v>
      </c>
      <c r="R73" s="26" t="str">
        <f t="shared" si="8"/>
        <v>05</v>
      </c>
      <c r="S73" s="26" t="str">
        <f t="shared" si="9"/>
        <v>2026</v>
      </c>
      <c r="T73" s="26" t="str">
        <f t="shared" si="10"/>
        <v>01/05/2026</v>
      </c>
      <c r="U73" s="63">
        <f t="shared" si="11"/>
        <v>46173</v>
      </c>
    </row>
    <row r="74" spans="1:21" ht="18" hidden="1">
      <c r="A74" s="22">
        <v>14</v>
      </c>
      <c r="B74" s="22" t="str">
        <f t="shared" si="6"/>
        <v>42683912A000 SUELDO BASICO</v>
      </c>
      <c r="C74" s="22" t="s">
        <v>64</v>
      </c>
      <c r="D74" s="22" t="s">
        <v>132</v>
      </c>
      <c r="E74" s="22" t="s">
        <v>64</v>
      </c>
      <c r="F74" s="52">
        <v>45637</v>
      </c>
      <c r="G74" s="53">
        <v>5768</v>
      </c>
      <c r="H74" s="68" t="s">
        <v>604</v>
      </c>
      <c r="I74" s="22" t="s">
        <v>105</v>
      </c>
      <c r="J74" s="22" t="s">
        <v>106</v>
      </c>
      <c r="K74" s="22" t="s">
        <v>61</v>
      </c>
      <c r="L74" s="22">
        <v>240</v>
      </c>
      <c r="M74" s="53">
        <v>5768</v>
      </c>
      <c r="N74" s="53">
        <v>0</v>
      </c>
      <c r="O74" s="64">
        <v>5768</v>
      </c>
      <c r="Q74" s="26" t="str">
        <f t="shared" si="7"/>
        <v>01</v>
      </c>
      <c r="R74" s="26" t="str">
        <f t="shared" si="8"/>
        <v>05</v>
      </c>
      <c r="S74" s="26" t="str">
        <f t="shared" si="9"/>
        <v>2026</v>
      </c>
      <c r="T74" s="26" t="str">
        <f t="shared" si="10"/>
        <v>01/05/2026</v>
      </c>
      <c r="U74" s="63">
        <f t="shared" si="11"/>
        <v>46173</v>
      </c>
    </row>
    <row r="75" spans="1:21" ht="27" hidden="1">
      <c r="A75" s="22">
        <v>14</v>
      </c>
      <c r="B75" s="22" t="str">
        <f t="shared" si="6"/>
        <v>42683912D013 AUXILIO DE MOVILIDAD</v>
      </c>
      <c r="C75" s="22" t="s">
        <v>64</v>
      </c>
      <c r="D75" s="22" t="s">
        <v>132</v>
      </c>
      <c r="E75" s="22" t="s">
        <v>64</v>
      </c>
      <c r="F75" s="52">
        <v>45637</v>
      </c>
      <c r="G75" s="53">
        <v>5768</v>
      </c>
      <c r="H75" s="68" t="s">
        <v>604</v>
      </c>
      <c r="I75" s="22" t="s">
        <v>118</v>
      </c>
      <c r="J75" s="22" t="s">
        <v>119</v>
      </c>
      <c r="K75" s="22" t="s">
        <v>72</v>
      </c>
      <c r="L75" s="22">
        <v>0</v>
      </c>
      <c r="M75" s="53">
        <v>48</v>
      </c>
      <c r="N75" s="53">
        <v>0</v>
      </c>
      <c r="O75" s="64">
        <v>48</v>
      </c>
      <c r="Q75" s="26" t="str">
        <f t="shared" si="7"/>
        <v>01</v>
      </c>
      <c r="R75" s="26" t="str">
        <f t="shared" si="8"/>
        <v>05</v>
      </c>
      <c r="S75" s="26" t="str">
        <f t="shared" si="9"/>
        <v>2026</v>
      </c>
      <c r="T75" s="26" t="str">
        <f t="shared" si="10"/>
        <v>01/05/2026</v>
      </c>
      <c r="U75" s="63">
        <f t="shared" si="11"/>
        <v>46173</v>
      </c>
    </row>
    <row r="76" spans="1:21" ht="27" hidden="1">
      <c r="A76" s="22">
        <v>14</v>
      </c>
      <c r="B76" s="22" t="str">
        <f t="shared" si="6"/>
        <v>42683912I100 APORTE OBLIGATORIO AFP</v>
      </c>
      <c r="C76" s="22" t="s">
        <v>64</v>
      </c>
      <c r="D76" s="22" t="s">
        <v>132</v>
      </c>
      <c r="E76" s="22" t="s">
        <v>64</v>
      </c>
      <c r="F76" s="52">
        <v>45637</v>
      </c>
      <c r="G76" s="53">
        <v>5768</v>
      </c>
      <c r="H76" s="68" t="s">
        <v>604</v>
      </c>
      <c r="I76" s="22" t="s">
        <v>107</v>
      </c>
      <c r="J76" s="22" t="s">
        <v>108</v>
      </c>
      <c r="K76" s="22" t="s">
        <v>88</v>
      </c>
      <c r="L76" s="22">
        <v>0</v>
      </c>
      <c r="M76" s="53">
        <v>0</v>
      </c>
      <c r="N76" s="53">
        <v>576.79999999999995</v>
      </c>
      <c r="O76" s="23">
        <v>-576.79999999999995</v>
      </c>
      <c r="Q76" s="26" t="str">
        <f t="shared" si="7"/>
        <v>01</v>
      </c>
      <c r="R76" s="26" t="str">
        <f t="shared" si="8"/>
        <v>05</v>
      </c>
      <c r="S76" s="26" t="str">
        <f t="shared" si="9"/>
        <v>2026</v>
      </c>
      <c r="T76" s="26" t="str">
        <f t="shared" si="10"/>
        <v>01/05/2026</v>
      </c>
      <c r="U76" s="63">
        <f t="shared" si="11"/>
        <v>46173</v>
      </c>
    </row>
    <row r="77" spans="1:21" ht="27" hidden="1">
      <c r="A77" s="22">
        <v>14</v>
      </c>
      <c r="B77" s="22" t="str">
        <f t="shared" si="6"/>
        <v>42683912I200 SOBREVIVENCIA AFP</v>
      </c>
      <c r="C77" s="22" t="s">
        <v>64</v>
      </c>
      <c r="D77" s="22" t="s">
        <v>132</v>
      </c>
      <c r="E77" s="22" t="s">
        <v>64</v>
      </c>
      <c r="F77" s="52">
        <v>45637</v>
      </c>
      <c r="G77" s="53">
        <v>5768</v>
      </c>
      <c r="H77" s="68" t="s">
        <v>604</v>
      </c>
      <c r="I77" s="22" t="s">
        <v>109</v>
      </c>
      <c r="J77" s="22" t="s">
        <v>110</v>
      </c>
      <c r="K77" s="22" t="s">
        <v>89</v>
      </c>
      <c r="L77" s="22">
        <v>0</v>
      </c>
      <c r="M77" s="53">
        <v>0</v>
      </c>
      <c r="N77" s="53">
        <v>79.02</v>
      </c>
      <c r="O77" s="23">
        <v>-79.02</v>
      </c>
      <c r="Q77" s="26" t="str">
        <f t="shared" si="7"/>
        <v>01</v>
      </c>
      <c r="R77" s="26" t="str">
        <f t="shared" si="8"/>
        <v>05</v>
      </c>
      <c r="S77" s="26" t="str">
        <f t="shared" si="9"/>
        <v>2026</v>
      </c>
      <c r="T77" s="26" t="str">
        <f t="shared" si="10"/>
        <v>01/05/2026</v>
      </c>
      <c r="U77" s="63">
        <f t="shared" si="11"/>
        <v>46173</v>
      </c>
    </row>
    <row r="78" spans="1:21" ht="36" hidden="1">
      <c r="A78" s="22">
        <v>14</v>
      </c>
      <c r="B78" s="22" t="str">
        <f t="shared" si="6"/>
        <v>42683912R000 RETENCION IMPUESTO A LA RENTA</v>
      </c>
      <c r="C78" s="22" t="s">
        <v>64</v>
      </c>
      <c r="D78" s="22" t="s">
        <v>132</v>
      </c>
      <c r="E78" s="22" t="s">
        <v>64</v>
      </c>
      <c r="F78" s="52">
        <v>45637</v>
      </c>
      <c r="G78" s="53">
        <v>5768</v>
      </c>
      <c r="H78" s="68" t="s">
        <v>604</v>
      </c>
      <c r="I78" s="22" t="s">
        <v>113</v>
      </c>
      <c r="J78" s="22" t="s">
        <v>114</v>
      </c>
      <c r="K78" s="22" t="s">
        <v>62</v>
      </c>
      <c r="L78" s="22">
        <v>0</v>
      </c>
      <c r="M78" s="53">
        <v>0</v>
      </c>
      <c r="N78" s="53">
        <v>368.65</v>
      </c>
      <c r="O78" s="23">
        <v>-368.65</v>
      </c>
      <c r="Q78" s="26" t="str">
        <f t="shared" si="7"/>
        <v>01</v>
      </c>
      <c r="R78" s="26" t="str">
        <f t="shared" si="8"/>
        <v>05</v>
      </c>
      <c r="S78" s="26" t="str">
        <f t="shared" si="9"/>
        <v>2026</v>
      </c>
      <c r="T78" s="26" t="str">
        <f t="shared" si="10"/>
        <v>01/05/2026</v>
      </c>
      <c r="U78" s="63">
        <f t="shared" si="11"/>
        <v>46173</v>
      </c>
    </row>
    <row r="79" spans="1:21" ht="18">
      <c r="A79" s="22">
        <v>15</v>
      </c>
      <c r="B79" s="22" t="str">
        <f t="shared" si="6"/>
        <v>72836862A000 SUELDO BASICO</v>
      </c>
      <c r="C79" s="22" t="s">
        <v>77</v>
      </c>
      <c r="D79" s="22" t="s">
        <v>137</v>
      </c>
      <c r="E79" s="22" t="s">
        <v>77</v>
      </c>
      <c r="F79" s="52">
        <v>45208</v>
      </c>
      <c r="G79" s="53">
        <v>2652</v>
      </c>
      <c r="H79" s="68" t="s">
        <v>604</v>
      </c>
      <c r="I79" s="22" t="s">
        <v>105</v>
      </c>
      <c r="J79" s="22" t="s">
        <v>106</v>
      </c>
      <c r="K79" s="22" t="s">
        <v>61</v>
      </c>
      <c r="L79" s="22">
        <v>168</v>
      </c>
      <c r="M79" s="53">
        <v>1856.4</v>
      </c>
      <c r="N79" s="53">
        <v>0</v>
      </c>
      <c r="O79" s="64">
        <v>1856.4</v>
      </c>
      <c r="Q79" s="26" t="str">
        <f t="shared" si="7"/>
        <v>01</v>
      </c>
      <c r="R79" s="26" t="str">
        <f t="shared" si="8"/>
        <v>05</v>
      </c>
      <c r="S79" s="26" t="str">
        <f t="shared" si="9"/>
        <v>2026</v>
      </c>
      <c r="T79" s="26" t="str">
        <f t="shared" si="10"/>
        <v>01/05/2026</v>
      </c>
      <c r="U79" s="63">
        <f t="shared" si="11"/>
        <v>46173</v>
      </c>
    </row>
    <row r="80" spans="1:21" ht="27">
      <c r="A80" s="22">
        <v>15</v>
      </c>
      <c r="B80" s="22" t="str">
        <f t="shared" si="6"/>
        <v>72836862D013 AUXILIO DE MOVILIDAD</v>
      </c>
      <c r="C80" s="22" t="s">
        <v>77</v>
      </c>
      <c r="D80" s="22" t="s">
        <v>137</v>
      </c>
      <c r="E80" s="22" t="s">
        <v>77</v>
      </c>
      <c r="F80" s="52">
        <v>45208</v>
      </c>
      <c r="G80" s="53">
        <v>2652</v>
      </c>
      <c r="H80" s="68" t="s">
        <v>604</v>
      </c>
      <c r="I80" s="22" t="s">
        <v>118</v>
      </c>
      <c r="J80" s="22" t="s">
        <v>119</v>
      </c>
      <c r="K80" s="22" t="s">
        <v>72</v>
      </c>
      <c r="L80" s="22">
        <v>0</v>
      </c>
      <c r="M80" s="53">
        <v>32</v>
      </c>
      <c r="N80" s="53">
        <v>0</v>
      </c>
      <c r="O80" s="64">
        <v>32</v>
      </c>
      <c r="Q80" s="26" t="str">
        <f t="shared" si="7"/>
        <v>01</v>
      </c>
      <c r="R80" s="26" t="str">
        <f t="shared" si="8"/>
        <v>05</v>
      </c>
      <c r="S80" s="26" t="str">
        <f t="shared" si="9"/>
        <v>2026</v>
      </c>
      <c r="T80" s="26" t="str">
        <f t="shared" si="10"/>
        <v>01/05/2026</v>
      </c>
      <c r="U80" s="63">
        <f t="shared" si="11"/>
        <v>46173</v>
      </c>
    </row>
    <row r="81" spans="1:21" ht="18">
      <c r="A81" s="22">
        <v>15</v>
      </c>
      <c r="B81" s="22" t="str">
        <f t="shared" si="6"/>
        <v>72836862G006 VACACIONES</v>
      </c>
      <c r="C81" s="22" t="s">
        <v>77</v>
      </c>
      <c r="D81" s="22" t="s">
        <v>137</v>
      </c>
      <c r="E81" s="22" t="s">
        <v>77</v>
      </c>
      <c r="F81" s="52">
        <v>45208</v>
      </c>
      <c r="G81" s="53">
        <v>2652</v>
      </c>
      <c r="H81" s="68" t="s">
        <v>604</v>
      </c>
      <c r="I81" s="22" t="s">
        <v>122</v>
      </c>
      <c r="J81" s="22" t="s">
        <v>123</v>
      </c>
      <c r="K81" s="22" t="s">
        <v>76</v>
      </c>
      <c r="L81" s="22">
        <v>72</v>
      </c>
      <c r="M81" s="53">
        <v>795.6</v>
      </c>
      <c r="N81" s="53">
        <v>0</v>
      </c>
      <c r="O81" s="64">
        <v>795.6</v>
      </c>
      <c r="Q81" s="26" t="str">
        <f t="shared" si="7"/>
        <v>01</v>
      </c>
      <c r="R81" s="26" t="str">
        <f t="shared" si="8"/>
        <v>05</v>
      </c>
      <c r="S81" s="26" t="str">
        <f t="shared" si="9"/>
        <v>2026</v>
      </c>
      <c r="T81" s="26" t="str">
        <f t="shared" si="10"/>
        <v>01/05/2026</v>
      </c>
      <c r="U81" s="63">
        <f t="shared" si="11"/>
        <v>46173</v>
      </c>
    </row>
    <row r="82" spans="1:21" ht="27">
      <c r="A82" s="22">
        <v>15</v>
      </c>
      <c r="B82" s="22" t="str">
        <f t="shared" si="6"/>
        <v>72836862I100 APORTE OBLIGATORIO AFP</v>
      </c>
      <c r="C82" s="22" t="s">
        <v>77</v>
      </c>
      <c r="D82" s="22" t="s">
        <v>137</v>
      </c>
      <c r="E82" s="22" t="s">
        <v>77</v>
      </c>
      <c r="F82" s="52">
        <v>45208</v>
      </c>
      <c r="G82" s="53">
        <v>2652</v>
      </c>
      <c r="H82" s="68" t="s">
        <v>604</v>
      </c>
      <c r="I82" s="22" t="s">
        <v>107</v>
      </c>
      <c r="J82" s="22" t="s">
        <v>108</v>
      </c>
      <c r="K82" s="22" t="s">
        <v>88</v>
      </c>
      <c r="L82" s="22">
        <v>0</v>
      </c>
      <c r="M82" s="53">
        <v>0</v>
      </c>
      <c r="N82" s="53">
        <v>265.2</v>
      </c>
      <c r="O82" s="23">
        <v>-265.2</v>
      </c>
      <c r="Q82" s="26" t="str">
        <f t="shared" si="7"/>
        <v>01</v>
      </c>
      <c r="R82" s="26" t="str">
        <f t="shared" si="8"/>
        <v>05</v>
      </c>
      <c r="S82" s="26" t="str">
        <f t="shared" si="9"/>
        <v>2026</v>
      </c>
      <c r="T82" s="26" t="str">
        <f t="shared" si="10"/>
        <v>01/05/2026</v>
      </c>
      <c r="U82" s="63">
        <f t="shared" si="11"/>
        <v>46173</v>
      </c>
    </row>
    <row r="83" spans="1:21" ht="27">
      <c r="A83" s="22">
        <v>15</v>
      </c>
      <c r="B83" s="22" t="str">
        <f t="shared" si="6"/>
        <v>72836862I200 SOBREVIVENCIA AFP</v>
      </c>
      <c r="C83" s="22" t="s">
        <v>77</v>
      </c>
      <c r="D83" s="22" t="s">
        <v>137</v>
      </c>
      <c r="E83" s="22" t="s">
        <v>77</v>
      </c>
      <c r="F83" s="52">
        <v>45208</v>
      </c>
      <c r="G83" s="53">
        <v>2652</v>
      </c>
      <c r="H83" s="68" t="s">
        <v>604</v>
      </c>
      <c r="I83" s="22" t="s">
        <v>109</v>
      </c>
      <c r="J83" s="22" t="s">
        <v>110</v>
      </c>
      <c r="K83" s="22" t="s">
        <v>89</v>
      </c>
      <c r="L83" s="22">
        <v>0</v>
      </c>
      <c r="M83" s="53">
        <v>0</v>
      </c>
      <c r="N83" s="53">
        <v>36.33</v>
      </c>
      <c r="O83" s="23">
        <v>-36.33</v>
      </c>
      <c r="Q83" s="26" t="str">
        <f t="shared" si="7"/>
        <v>01</v>
      </c>
      <c r="R83" s="26" t="str">
        <f t="shared" si="8"/>
        <v>05</v>
      </c>
      <c r="S83" s="26" t="str">
        <f t="shared" si="9"/>
        <v>2026</v>
      </c>
      <c r="T83" s="26" t="str">
        <f t="shared" si="10"/>
        <v>01/05/2026</v>
      </c>
      <c r="U83" s="63">
        <f t="shared" si="11"/>
        <v>46173</v>
      </c>
    </row>
    <row r="84" spans="1:21" ht="27">
      <c r="A84" s="22">
        <v>16</v>
      </c>
      <c r="B84" s="22" t="str">
        <f t="shared" si="6"/>
        <v>74026184A006 SUBVENCION ECONOMICA</v>
      </c>
      <c r="C84" s="22" t="s">
        <v>591</v>
      </c>
      <c r="D84" s="22" t="s">
        <v>603</v>
      </c>
      <c r="E84" s="22" t="s">
        <v>591</v>
      </c>
      <c r="F84" s="52">
        <v>46153</v>
      </c>
      <c r="G84" s="53">
        <v>1130</v>
      </c>
      <c r="H84" s="68" t="s">
        <v>604</v>
      </c>
      <c r="I84" s="22" t="s">
        <v>116</v>
      </c>
      <c r="J84" s="22" t="s">
        <v>117</v>
      </c>
      <c r="K84" s="22" t="s">
        <v>91</v>
      </c>
      <c r="L84" s="22">
        <v>160</v>
      </c>
      <c r="M84" s="53">
        <v>753.33</v>
      </c>
      <c r="N84" s="53">
        <v>0</v>
      </c>
      <c r="O84" s="64">
        <v>753.33</v>
      </c>
      <c r="Q84" s="26" t="str">
        <f t="shared" si="7"/>
        <v>01</v>
      </c>
      <c r="R84" s="26" t="str">
        <f t="shared" si="8"/>
        <v>05</v>
      </c>
      <c r="S84" s="26" t="str">
        <f t="shared" si="9"/>
        <v>2026</v>
      </c>
      <c r="T84" s="26" t="str">
        <f t="shared" si="10"/>
        <v>01/05/2026</v>
      </c>
      <c r="U84" s="63">
        <f t="shared" si="11"/>
        <v>46173</v>
      </c>
    </row>
    <row r="85" spans="1:21" ht="27">
      <c r="A85" s="22">
        <v>17</v>
      </c>
      <c r="B85" s="22" t="str">
        <f t="shared" si="6"/>
        <v>76607245A006 SUBVENCION ECONOMICA</v>
      </c>
      <c r="C85" s="22" t="s">
        <v>80</v>
      </c>
      <c r="D85" s="22" t="s">
        <v>124</v>
      </c>
      <c r="E85" s="22" t="s">
        <v>80</v>
      </c>
      <c r="F85" s="52">
        <v>45740</v>
      </c>
      <c r="G85" s="53">
        <v>1130</v>
      </c>
      <c r="H85" s="68" t="s">
        <v>604</v>
      </c>
      <c r="I85" s="22" t="s">
        <v>116</v>
      </c>
      <c r="J85" s="22" t="s">
        <v>117</v>
      </c>
      <c r="K85" s="22" t="s">
        <v>91</v>
      </c>
      <c r="L85" s="22">
        <v>216</v>
      </c>
      <c r="M85" s="53">
        <v>1017</v>
      </c>
      <c r="N85" s="53">
        <v>0</v>
      </c>
      <c r="O85" s="64">
        <v>1017</v>
      </c>
      <c r="Q85" s="26" t="str">
        <f t="shared" si="7"/>
        <v>01</v>
      </c>
      <c r="R85" s="26" t="str">
        <f t="shared" si="8"/>
        <v>05</v>
      </c>
      <c r="S85" s="26" t="str">
        <f t="shared" si="9"/>
        <v>2026</v>
      </c>
      <c r="T85" s="26" t="str">
        <f t="shared" si="10"/>
        <v>01/05/2026</v>
      </c>
      <c r="U85" s="63">
        <f t="shared" si="11"/>
        <v>46173</v>
      </c>
    </row>
    <row r="86" spans="1:21" ht="18">
      <c r="A86" s="22">
        <v>17</v>
      </c>
      <c r="B86" s="22" t="str">
        <f t="shared" si="6"/>
        <v>76607245G006 VACACIONES</v>
      </c>
      <c r="C86" s="22" t="s">
        <v>80</v>
      </c>
      <c r="D86" s="22" t="s">
        <v>124</v>
      </c>
      <c r="E86" s="22" t="s">
        <v>80</v>
      </c>
      <c r="F86" s="52">
        <v>45740</v>
      </c>
      <c r="G86" s="53">
        <v>1130</v>
      </c>
      <c r="H86" s="68" t="s">
        <v>604</v>
      </c>
      <c r="I86" s="22" t="s">
        <v>122</v>
      </c>
      <c r="J86" s="22" t="s">
        <v>123</v>
      </c>
      <c r="K86" s="22" t="s">
        <v>76</v>
      </c>
      <c r="L86" s="22">
        <v>24</v>
      </c>
      <c r="M86" s="53">
        <v>113</v>
      </c>
      <c r="N86" s="53">
        <v>0</v>
      </c>
      <c r="O86" s="64">
        <v>113</v>
      </c>
      <c r="Q86" s="26" t="str">
        <f t="shared" si="7"/>
        <v>01</v>
      </c>
      <c r="R86" s="26" t="str">
        <f t="shared" si="8"/>
        <v>05</v>
      </c>
      <c r="S86" s="26" t="str">
        <f t="shared" si="9"/>
        <v>2026</v>
      </c>
      <c r="T86" s="26" t="str">
        <f t="shared" si="10"/>
        <v>01/05/2026</v>
      </c>
      <c r="U86" s="63">
        <f t="shared" si="11"/>
        <v>46173</v>
      </c>
    </row>
  </sheetData>
  <autoFilter ref="A1:AB86" xr:uid="{00000000-0001-0000-1200-000000000000}">
    <filterColumn colId="3">
      <filters>
        <filter val="JACKELINE NANCY MEJIA DOLORES"/>
        <filter val="JACKELINE TAMARA FAJARDO APOLAYA"/>
        <filter val="STEFFANY FELICIA CAICEDO ROSADO"/>
      </filters>
    </filterColumn>
  </autoFilter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/>
  <dimension ref="A1:S20"/>
  <sheetViews>
    <sheetView showGridLines="0" workbookViewId="0">
      <pane xSplit="3" ySplit="2" topLeftCell="D3" activePane="bottomRight" state="frozen"/>
      <selection pane="topRight" activeCell="A6" sqref="A6"/>
      <selection pane="bottomLeft" activeCell="A6" sqref="A6"/>
      <selection pane="bottomRight" activeCell="E18" sqref="E18"/>
    </sheetView>
  </sheetViews>
  <sheetFormatPr baseColWidth="10" defaultColWidth="9.109375" defaultRowHeight="14.4"/>
  <cols>
    <col min="1" max="1" width="2.33203125" bestFit="1" customWidth="1"/>
    <col min="2" max="2" width="23.44140625" customWidth="1"/>
    <col min="3" max="3" width="42.5546875" customWidth="1"/>
    <col min="4" max="4" width="9.88671875" bestFit="1" customWidth="1"/>
    <col min="5" max="5" width="5.44140625" bestFit="1" customWidth="1"/>
    <col min="6" max="6" width="44" customWidth="1"/>
    <col min="7" max="7" width="5.6640625" bestFit="1" customWidth="1"/>
    <col min="8" max="8" width="24.5546875" customWidth="1"/>
    <col min="9" max="9" width="11.44140625" customWidth="1"/>
    <col min="10" max="10" width="21.33203125" style="30" customWidth="1"/>
    <col min="11" max="11" width="18.109375" customWidth="1"/>
    <col min="12" max="12" width="9.33203125" bestFit="1" customWidth="1"/>
    <col min="13" max="13" width="9.109375" bestFit="1" customWidth="1"/>
    <col min="14" max="14" width="14.33203125" customWidth="1"/>
    <col min="15" max="15" width="11.6640625" customWidth="1"/>
    <col min="16" max="18" width="15.6640625" customWidth="1"/>
    <col min="19" max="19" width="5.109375" customWidth="1"/>
  </cols>
  <sheetData>
    <row r="1" spans="1:19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 s="34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</row>
    <row r="2" spans="1:19" ht="27">
      <c r="A2" s="5" t="s">
        <v>11</v>
      </c>
      <c r="B2" s="20" t="s">
        <v>1</v>
      </c>
      <c r="C2" s="20" t="s">
        <v>94</v>
      </c>
      <c r="D2" s="20" t="s">
        <v>142</v>
      </c>
      <c r="E2" s="5" t="s">
        <v>143</v>
      </c>
      <c r="F2" s="5" t="s">
        <v>144</v>
      </c>
      <c r="G2" s="5" t="s">
        <v>28</v>
      </c>
      <c r="H2" s="5" t="s">
        <v>145</v>
      </c>
      <c r="I2" s="5" t="s">
        <v>146</v>
      </c>
      <c r="J2" s="31" t="s">
        <v>147</v>
      </c>
      <c r="K2" s="5" t="s">
        <v>148</v>
      </c>
      <c r="L2" s="5" t="s">
        <v>149</v>
      </c>
      <c r="M2" s="5" t="s">
        <v>37</v>
      </c>
      <c r="N2" s="5" t="s">
        <v>63</v>
      </c>
      <c r="O2" s="5" t="s">
        <v>68</v>
      </c>
      <c r="P2" s="5" t="s">
        <v>150</v>
      </c>
      <c r="Q2" s="5" t="s">
        <v>151</v>
      </c>
      <c r="R2" s="5" t="s">
        <v>152</v>
      </c>
      <c r="S2" s="5" t="s">
        <v>11</v>
      </c>
    </row>
    <row r="3" spans="1:19">
      <c r="A3" s="6">
        <v>1</v>
      </c>
      <c r="B3" s="6" t="s">
        <v>12</v>
      </c>
      <c r="C3" s="6" t="s">
        <v>139</v>
      </c>
      <c r="D3" s="22" t="s">
        <v>14</v>
      </c>
      <c r="E3" s="22" t="str">
        <f>+VLOOKUP($B3,'BD Total'!$A:$BX,76,0)</f>
        <v>IPS</v>
      </c>
      <c r="F3" s="22" t="str">
        <f>+VLOOKUP($B3,'BD Total'!$A:$BY,77,0)</f>
        <v xml:space="preserve"> IP PROSECUTION SPECIALIST </v>
      </c>
      <c r="G3" s="22" t="str">
        <f>+VLOOKUP($B3,'BD Total'!$A:$CB,80,0)</f>
        <v>002</v>
      </c>
      <c r="H3" s="22" t="str">
        <f>+VLOOKUP($B3,'BD Total'!$A:$CC,81,0)</f>
        <v>CENTRAL SERVICES</v>
      </c>
      <c r="I3" s="22" t="str">
        <f>+VLOOKUP($B3,'BD Total'!$A:$FA,85,FALSE)</f>
        <v>260130RRCOI9</v>
      </c>
      <c r="J3" s="32">
        <v>244.31625000000003</v>
      </c>
      <c r="K3" s="6" t="str">
        <f>IFERROR(VLOOKUP($B3,'BD Total'!$A:$EW,101,0),0)</f>
        <v>INTEGRA</v>
      </c>
      <c r="L3" s="52">
        <f>VLOOKUP($B3,'BD Total'!$A:$K,11,0)</f>
        <v>44348</v>
      </c>
      <c r="M3" s="56">
        <f>+VLOOKUP($B3,'BD Total'!$A:$FA,22,FALSE)</f>
        <v>3899</v>
      </c>
      <c r="N3" s="53">
        <f>+VLOOKUP($B3,ESSALUD!$B$2:$H$18,6,FALSE)</f>
        <v>270.81</v>
      </c>
      <c r="O3" s="53">
        <f>+VLOOKUP($B3,ESSALUD!$B$2:$H$18,7,FALSE)</f>
        <v>90.269999999999982</v>
      </c>
      <c r="P3" s="24">
        <f>+M3</f>
        <v>3899</v>
      </c>
      <c r="Q3" s="25">
        <f t="shared" ref="Q3:Q19" si="0">+N3+O3</f>
        <v>361.08</v>
      </c>
      <c r="R3" s="23">
        <f>+P3-Q3</f>
        <v>3537.92</v>
      </c>
      <c r="S3" s="6">
        <v>1</v>
      </c>
    </row>
    <row r="4" spans="1:19">
      <c r="A4" s="6">
        <v>2</v>
      </c>
      <c r="B4" s="6" t="s">
        <v>19</v>
      </c>
      <c r="C4" s="6" t="s">
        <v>125</v>
      </c>
      <c r="D4" s="22" t="s">
        <v>21</v>
      </c>
      <c r="E4" s="22" t="str">
        <f>+VLOOKUP($B4,'BD Total'!$A:$BX,76,0)</f>
        <v>IPS</v>
      </c>
      <c r="F4" s="22" t="str">
        <f>+VLOOKUP($B4,'BD Total'!$A:$BY,77,0)</f>
        <v xml:space="preserve"> IP PROSECUTION SPECIALIST </v>
      </c>
      <c r="G4" s="22" t="str">
        <f>+VLOOKUP($B4,'BD Total'!$A:$CB,80,0)</f>
        <v>002</v>
      </c>
      <c r="H4" s="22" t="str">
        <f>+VLOOKUP($B4,'BD Total'!$A:$CC,81,0)</f>
        <v>CENTRAL SERVICES</v>
      </c>
      <c r="I4" s="22" t="str">
        <f>+VLOOKUP($B4,'BD Total'!$A:$FA,85,FALSE)</f>
        <v>595200FCCCA8</v>
      </c>
      <c r="J4" s="32">
        <v>223.155</v>
      </c>
      <c r="K4" s="6" t="str">
        <f>IFERROR(VLOOKUP($B4,'BD Total'!$A:$EW,101,0),0)</f>
        <v>INTEGRA</v>
      </c>
      <c r="L4" s="52">
        <f>VLOOKUP($B4,'BD Total'!$A:$K,11,0)</f>
        <v>42257</v>
      </c>
      <c r="M4" s="56">
        <f>+VLOOKUP($B4,'BD Total'!$A:$FA,22,FALSE)</f>
        <v>3700</v>
      </c>
      <c r="N4" s="53">
        <f>+VLOOKUP($B4,ESSALUD!$B$2:$H$18,6,FALSE)</f>
        <v>249.75000000000003</v>
      </c>
      <c r="O4" s="53">
        <f>+VLOOKUP($B4,ESSALUD!$B$2:$H$18,7,FALSE)</f>
        <v>83.249999999999972</v>
      </c>
      <c r="P4" s="24">
        <f t="shared" ref="P4:P19" si="1">+M4</f>
        <v>3700</v>
      </c>
      <c r="Q4" s="25">
        <f t="shared" si="0"/>
        <v>333</v>
      </c>
      <c r="R4" s="23">
        <f t="shared" ref="R4:R16" si="2">+P4-Q4</f>
        <v>3367</v>
      </c>
      <c r="S4" s="6">
        <v>2</v>
      </c>
    </row>
    <row r="5" spans="1:19">
      <c r="A5" s="6">
        <v>3</v>
      </c>
      <c r="B5" s="6" t="s">
        <v>22</v>
      </c>
      <c r="C5" s="6" t="s">
        <v>131</v>
      </c>
      <c r="D5" s="22" t="s">
        <v>24</v>
      </c>
      <c r="E5" s="22" t="str">
        <f>+VLOOKUP($B5,'BD Total'!$A:$BX,76,0)</f>
        <v>IPS</v>
      </c>
      <c r="F5" s="22" t="str">
        <f>+VLOOKUP($B5,'BD Total'!$A:$BY,77,0)</f>
        <v xml:space="preserve"> IP PROSECUTION SPECIALIST </v>
      </c>
      <c r="G5" s="22" t="str">
        <f>+VLOOKUP($B5,'BD Total'!$A:$CB,80,0)</f>
        <v>011</v>
      </c>
      <c r="H5" s="22" t="str">
        <f>+VLOOKUP($B5,'BD Total'!$A:$CC,81,0)</f>
        <v>INVENTIONS</v>
      </c>
      <c r="I5" s="22" t="str">
        <f>+VLOOKUP($B5,'BD Total'!$A:$FA,85,FALSE)</f>
        <v>621441RFSRR2</v>
      </c>
      <c r="J5" s="32">
        <v>227.40750000000003</v>
      </c>
      <c r="K5" s="6" t="str">
        <f>IFERROR(VLOOKUP($B5,'BD Total'!$A:$EW,101,0),0)</f>
        <v>PROFUTURO</v>
      </c>
      <c r="L5" s="52">
        <f>VLOOKUP($B5,'BD Total'!$A:$K,11,0)</f>
        <v>42506</v>
      </c>
      <c r="M5" s="56">
        <f>+VLOOKUP($B5,'BD Total'!$A:$FA,22,FALSE)</f>
        <v>8842</v>
      </c>
      <c r="N5" s="53">
        <f>+VLOOKUP($B5,ESSALUD!$B$2:$H$18,6,FALSE)</f>
        <v>596.83500000000004</v>
      </c>
      <c r="O5" s="53">
        <f>+VLOOKUP($B5,ESSALUD!$B$2:$H$18,7,FALSE)</f>
        <v>198.94499999999994</v>
      </c>
      <c r="P5" s="24">
        <f t="shared" si="1"/>
        <v>8842</v>
      </c>
      <c r="Q5" s="25">
        <f t="shared" si="0"/>
        <v>795.78</v>
      </c>
      <c r="R5" s="23">
        <f t="shared" si="2"/>
        <v>8046.22</v>
      </c>
      <c r="S5" s="6">
        <v>3</v>
      </c>
    </row>
    <row r="6" spans="1:19">
      <c r="A6" s="6">
        <v>4</v>
      </c>
      <c r="B6" s="6" t="s">
        <v>29</v>
      </c>
      <c r="C6" s="6" t="s">
        <v>104</v>
      </c>
      <c r="D6" s="22" t="s">
        <v>31</v>
      </c>
      <c r="E6" s="22" t="str">
        <f>+VLOOKUP($B6,'BD Total'!$A:$BX,76,0)</f>
        <v>CMD</v>
      </c>
      <c r="F6" s="22" t="str">
        <f>+VLOOKUP($B6,'BD Total'!$A:$BY,77,0)</f>
        <v>COUNTRY MANAGING DIRECTOR</v>
      </c>
      <c r="G6" s="22" t="str">
        <f>+VLOOKUP($B6,'BD Total'!$A:$CB,80,0)</f>
        <v>007</v>
      </c>
      <c r="H6" s="22" t="str">
        <f>+VLOOKUP($B6,'BD Total'!$A:$CC,81,0)</f>
        <v>CEO</v>
      </c>
      <c r="I6" s="22" t="str">
        <f>+VLOOKUP($B6,'BD Total'!$A:$FA,85,FALSE)</f>
        <v>322431AABAT4</v>
      </c>
      <c r="J6" s="32">
        <v>877.50000000000011</v>
      </c>
      <c r="K6" s="6" t="str">
        <f>IFERROR(VLOOKUP($B6,'BD Total'!$A:$EW,101,0),0)</f>
        <v>PROFUTURO</v>
      </c>
      <c r="L6" s="52">
        <f>VLOOKUP($B6,'BD Total'!$A:$K,11,0)</f>
        <v>42989</v>
      </c>
      <c r="M6" s="56">
        <f>+VLOOKUP($B6,'BD Total'!$A:$FA,22,FALSE)</f>
        <v>14615</v>
      </c>
      <c r="N6" s="53">
        <f>+VLOOKUP($B6,ESSALUD!$B$2:$H$18,6,FALSE)</f>
        <v>986.51250000000005</v>
      </c>
      <c r="O6" s="53">
        <f>+VLOOKUP($B6,ESSALUD!$B$2:$H$18,7,FALSE)</f>
        <v>328.83749999999986</v>
      </c>
      <c r="P6" s="24">
        <f t="shared" si="1"/>
        <v>14615</v>
      </c>
      <c r="Q6" s="25">
        <f t="shared" si="0"/>
        <v>1315.35</v>
      </c>
      <c r="R6" s="23">
        <f t="shared" si="2"/>
        <v>13299.65</v>
      </c>
      <c r="S6" s="6">
        <v>4</v>
      </c>
    </row>
    <row r="7" spans="1:19">
      <c r="A7" s="6">
        <v>5</v>
      </c>
      <c r="B7" s="6" t="s">
        <v>32</v>
      </c>
      <c r="C7" s="6" t="s">
        <v>135</v>
      </c>
      <c r="D7" s="22" t="s">
        <v>34</v>
      </c>
      <c r="E7" s="22" t="str">
        <f>+VLOOKUP($B7,'BD Total'!$A:$BX,76,0)</f>
        <v>IPS</v>
      </c>
      <c r="F7" s="22" t="str">
        <f>+VLOOKUP($B7,'BD Total'!$A:$BY,77,0)</f>
        <v xml:space="preserve"> IP PROSECUTION SPECIALIST </v>
      </c>
      <c r="G7" s="22" t="str">
        <f>+VLOOKUP($B7,'BD Total'!$A:$CB,80,0)</f>
        <v>002</v>
      </c>
      <c r="H7" s="22" t="str">
        <f>+VLOOKUP($B7,'BD Total'!$A:$CC,81,0)</f>
        <v>CENTRAL SERVICES</v>
      </c>
      <c r="I7" s="22" t="str">
        <f>+VLOOKUP($B7,'BD Total'!$A:$FA,85,FALSE)</f>
        <v>628890LLCAD9</v>
      </c>
      <c r="J7" s="32">
        <v>232.26750000000001</v>
      </c>
      <c r="K7" s="6" t="str">
        <f>IFERROR(VLOOKUP($B7,'BD Total'!$A:$EW,101,0),0)</f>
        <v>HABITAT</v>
      </c>
      <c r="L7" s="52">
        <f>VLOOKUP($B7,'BD Total'!$A:$K,11,0)</f>
        <v>42765</v>
      </c>
      <c r="M7" s="56">
        <f>+VLOOKUP($B7,'BD Total'!$A:$FA,22,FALSE)</f>
        <v>3871</v>
      </c>
      <c r="N7" s="53">
        <f>+VLOOKUP($B7,ESSALUD!$B$2:$H$18,6,FALSE)</f>
        <v>261.29250000000002</v>
      </c>
      <c r="O7" s="53">
        <f>+VLOOKUP($B7,ESSALUD!$B$2:$H$18,7,FALSE)</f>
        <v>87.097499999999968</v>
      </c>
      <c r="P7" s="24">
        <f t="shared" si="1"/>
        <v>3871</v>
      </c>
      <c r="Q7" s="25">
        <f t="shared" si="0"/>
        <v>348.39</v>
      </c>
      <c r="R7" s="23">
        <f t="shared" si="2"/>
        <v>3522.61</v>
      </c>
      <c r="S7" s="6">
        <v>5</v>
      </c>
    </row>
    <row r="8" spans="1:19">
      <c r="A8" s="6">
        <v>6</v>
      </c>
      <c r="B8" s="6" t="s">
        <v>40</v>
      </c>
      <c r="C8" s="6" t="s">
        <v>134</v>
      </c>
      <c r="D8" s="22" t="s">
        <v>42</v>
      </c>
      <c r="E8" s="22" t="str">
        <f>+VLOOKUP($B8,'BD Total'!$A:$BX,76,0)</f>
        <v>FAS</v>
      </c>
      <c r="F8" s="22" t="str">
        <f>+VLOOKUP($B8,'BD Total'!$A:$BY,77,0)</f>
        <v>FINANCE &amp; ACCOUNTING SPECIALIST</v>
      </c>
      <c r="G8" s="22" t="str">
        <f>+VLOOKUP($B8,'BD Total'!$A:$CB,80,0)</f>
        <v>005</v>
      </c>
      <c r="H8" s="22" t="str">
        <f>+VLOOKUP($B8,'BD Total'!$A:$CC,81,0)</f>
        <v>FINANZAS</v>
      </c>
      <c r="I8" s="22" t="str">
        <f>+VLOOKUP($B8,'BD Total'!$A:$FA,85,FALSE)</f>
        <v>632311FKROJ0</v>
      </c>
      <c r="J8" s="32">
        <v>287.88750000000005</v>
      </c>
      <c r="K8" s="6" t="str">
        <f>IFERROR(VLOOKUP($B8,'BD Total'!$A:$EW,101,0),0)</f>
        <v>INTEGRA</v>
      </c>
      <c r="L8" s="52">
        <f>VLOOKUP($B8,'BD Total'!$A:$K,11,0)</f>
        <v>44151</v>
      </c>
      <c r="M8" s="56">
        <f>+VLOOKUP($B8,'BD Total'!$A:$FA,22,FALSE)</f>
        <v>5733</v>
      </c>
      <c r="N8" s="53">
        <f>+VLOOKUP($B8,ESSALUD!$B$2:$H$18,6,FALSE)</f>
        <v>386.97750000000002</v>
      </c>
      <c r="O8" s="53">
        <f>+VLOOKUP($B8,ESSALUD!$B$2:$H$18,7,FALSE)</f>
        <v>128.99250000000001</v>
      </c>
      <c r="P8" s="24">
        <f t="shared" si="1"/>
        <v>5733</v>
      </c>
      <c r="Q8" s="25">
        <f t="shared" si="0"/>
        <v>515.97</v>
      </c>
      <c r="R8" s="23">
        <f t="shared" si="2"/>
        <v>5217.03</v>
      </c>
      <c r="S8" s="6">
        <v>6</v>
      </c>
    </row>
    <row r="9" spans="1:19">
      <c r="A9" s="6">
        <v>7</v>
      </c>
      <c r="B9" s="6" t="s">
        <v>44</v>
      </c>
      <c r="C9" s="6" t="s">
        <v>138</v>
      </c>
      <c r="D9" s="22" t="s">
        <v>46</v>
      </c>
      <c r="E9" s="22" t="str">
        <f>+VLOOKUP($B9,'BD Total'!$A:$BX,76,0)</f>
        <v>QPM</v>
      </c>
      <c r="F9" s="22" t="str">
        <f>+VLOOKUP($B9,'BD Total'!$A:$BY,77,0)</f>
        <v>QUALITY PROCESS MANAGER</v>
      </c>
      <c r="G9" s="22" t="str">
        <f>+VLOOKUP($B9,'BD Total'!$A:$CB,80,0)</f>
        <v>010</v>
      </c>
      <c r="H9" s="22" t="str">
        <f>+VLOOKUP($B9,'BD Total'!$A:$CC,81,0)</f>
        <v>OPERATIONS</v>
      </c>
      <c r="I9" s="22" t="str">
        <f>+VLOOKUP($B9,'BD Total'!$A:$FA,85,FALSE)</f>
        <v>641640MNERI3</v>
      </c>
      <c r="J9" s="32">
        <v>385.69500000000005</v>
      </c>
      <c r="K9" s="6" t="str">
        <f>IFERROR(VLOOKUP($B9,'BD Total'!$A:$EW,101,0),0)</f>
        <v>HABITAT</v>
      </c>
      <c r="L9" s="52">
        <f>VLOOKUP($B9,'BD Total'!$A:$K,11,0)</f>
        <v>42632</v>
      </c>
      <c r="M9" s="56">
        <f>+VLOOKUP($B9,'BD Total'!$A:$FA,22,FALSE)</f>
        <v>6552</v>
      </c>
      <c r="N9" s="53">
        <f>+VLOOKUP($B9,ESSALUD!$B$2:$H$18,6,FALSE)</f>
        <v>442.26000000000005</v>
      </c>
      <c r="O9" s="53">
        <f>+VLOOKUP($B9,ESSALUD!$B$2:$H$18,7,FALSE)</f>
        <v>147.4199999999999</v>
      </c>
      <c r="P9" s="24">
        <f t="shared" si="1"/>
        <v>6552</v>
      </c>
      <c r="Q9" s="25">
        <f t="shared" si="0"/>
        <v>589.67999999999995</v>
      </c>
      <c r="R9" s="23">
        <f t="shared" si="2"/>
        <v>5962.32</v>
      </c>
      <c r="S9" s="6">
        <v>7</v>
      </c>
    </row>
    <row r="10" spans="1:19">
      <c r="A10" s="6">
        <v>8</v>
      </c>
      <c r="B10" s="6" t="s">
        <v>47</v>
      </c>
      <c r="C10" s="6" t="s">
        <v>130</v>
      </c>
      <c r="D10" s="22" t="s">
        <v>49</v>
      </c>
      <c r="E10" s="22" t="str">
        <f>+VLOOKUP($B10,'BD Total'!$A:$BX,76,0)</f>
        <v>PSP</v>
      </c>
      <c r="F10" s="22" t="str">
        <f>+VLOOKUP($B10,'BD Total'!$A:$BY,77,0)</f>
        <v xml:space="preserve"> PATENT SPECIALIST </v>
      </c>
      <c r="G10" s="22" t="str">
        <f>+VLOOKUP($B10,'BD Total'!$A:$CB,80,0)</f>
        <v>011</v>
      </c>
      <c r="H10" s="22" t="str">
        <f>+VLOOKUP($B10,'BD Total'!$A:$CC,81,0)</f>
        <v>INVENTIONS</v>
      </c>
      <c r="I10" s="22" t="str">
        <f>+VLOOKUP($B10,'BD Total'!$A:$FA,85,FALSE)</f>
        <v>640621VFCNT9</v>
      </c>
      <c r="J10" s="32">
        <v>251.97750000000002</v>
      </c>
      <c r="K10" s="6" t="str">
        <f>IFERROR(VLOOKUP($B10,'BD Total'!$A:$EW,101,0),0)</f>
        <v>HABITAT</v>
      </c>
      <c r="L10" s="52">
        <f>VLOOKUP($B10,'BD Total'!$A:$K,11,0)</f>
        <v>44623</v>
      </c>
      <c r="M10" s="56">
        <f>+VLOOKUP($B10,'BD Total'!$A:$FA,22,FALSE)</f>
        <v>4099</v>
      </c>
      <c r="N10" s="53">
        <f>+VLOOKUP($B10,ESSALUD!$B$2:$H$18,6,FALSE)</f>
        <v>276.6825</v>
      </c>
      <c r="O10" s="53">
        <f>+VLOOKUP($B10,ESSALUD!$B$2:$H$18,7,FALSE)</f>
        <v>92.227499999999964</v>
      </c>
      <c r="P10" s="24">
        <f t="shared" si="1"/>
        <v>4099</v>
      </c>
      <c r="Q10" s="25">
        <f t="shared" si="0"/>
        <v>368.90999999999997</v>
      </c>
      <c r="R10" s="23">
        <f t="shared" si="2"/>
        <v>3730.09</v>
      </c>
      <c r="S10" s="6">
        <v>8</v>
      </c>
    </row>
    <row r="11" spans="1:19">
      <c r="A11" s="6">
        <v>9</v>
      </c>
      <c r="B11" s="6" t="s">
        <v>53</v>
      </c>
      <c r="C11" s="6" t="s">
        <v>140</v>
      </c>
      <c r="D11" s="22" t="s">
        <v>54</v>
      </c>
      <c r="E11" s="22" t="str">
        <f>+VLOOKUP($B11,'BD Total'!$A:$BX,76,0)</f>
        <v>P019</v>
      </c>
      <c r="F11" s="22" t="str">
        <f>+VLOOKUP($B11,'BD Total'!$A:$BY,77,0)</f>
        <v>IP SPECIALIST</v>
      </c>
      <c r="G11" s="22" t="str">
        <f>+VLOOKUP($B11,'BD Total'!$A:$CB,80,0)</f>
        <v>003</v>
      </c>
      <c r="H11" s="22" t="str">
        <f>+VLOOKUP($B11,'BD Total'!$A:$CC,81,0)</f>
        <v>TRADEMARKS</v>
      </c>
      <c r="I11" s="22">
        <f>+VLOOKUP($B11,'BD Total'!$A:$FA,85,FALSE)</f>
        <v>0</v>
      </c>
      <c r="J11" s="32">
        <v>371.25</v>
      </c>
      <c r="K11" s="6" t="str">
        <f>IFERROR(VLOOKUP($B11,'BD Total'!$A:$EW,101,0),0)</f>
        <v>ONP</v>
      </c>
      <c r="L11" s="52">
        <f>VLOOKUP($B11,'BD Total'!$A:$K,11,0)</f>
        <v>44879</v>
      </c>
      <c r="M11" s="56">
        <f>+VLOOKUP($B11,'BD Total'!$A:$FA,22,FALSE)</f>
        <v>6125</v>
      </c>
      <c r="N11" s="53">
        <f>+VLOOKUP($B11,ESSALUD!$B$2:$H$18,6,FALSE)</f>
        <v>421.06500000000005</v>
      </c>
      <c r="O11" s="53">
        <f>+VLOOKUP($B11,ESSALUD!$B$2:$H$18,7,FALSE)</f>
        <v>140.3549999999999</v>
      </c>
      <c r="P11" s="24">
        <f t="shared" si="1"/>
        <v>6125</v>
      </c>
      <c r="Q11" s="25">
        <f t="shared" si="0"/>
        <v>561.41999999999996</v>
      </c>
      <c r="R11" s="23">
        <f t="shared" si="2"/>
        <v>5563.58</v>
      </c>
      <c r="S11" s="6">
        <v>9</v>
      </c>
    </row>
    <row r="12" spans="1:19">
      <c r="A12" s="6">
        <v>10</v>
      </c>
      <c r="B12" s="6" t="s">
        <v>58</v>
      </c>
      <c r="C12" s="6" t="s">
        <v>133</v>
      </c>
      <c r="D12" s="22" t="s">
        <v>60</v>
      </c>
      <c r="E12" s="22" t="str">
        <f>+VLOOKUP($B12,'BD Total'!$A:$BX,76,0)</f>
        <v>PSP</v>
      </c>
      <c r="F12" s="22" t="str">
        <f>+VLOOKUP($B12,'BD Total'!$A:$BY,77,0)</f>
        <v xml:space="preserve"> PATENT SPECIALIST </v>
      </c>
      <c r="G12" s="22" t="str">
        <f>+VLOOKUP($B12,'BD Total'!$A:$CB,80,0)</f>
        <v>011</v>
      </c>
      <c r="H12" s="22" t="str">
        <f>+VLOOKUP($B12,'BD Total'!$A:$CC,81,0)</f>
        <v>INVENTIONS</v>
      </c>
      <c r="I12" s="22" t="str">
        <f>+VLOOKUP($B12,'BD Total'!$A:$FA,85,FALSE)</f>
        <v>631390CHTMR2</v>
      </c>
      <c r="J12" s="32">
        <v>378.04499999999996</v>
      </c>
      <c r="K12" s="6" t="str">
        <f>IFERROR(VLOOKUP($B12,'BD Total'!$A:$EW,101,0),0)</f>
        <v>HABITAT</v>
      </c>
      <c r="L12" s="52">
        <f>VLOOKUP($B12,'BD Total'!$A:$K,11,0)</f>
        <v>43241</v>
      </c>
      <c r="M12" s="56">
        <f>+VLOOKUP($B12,'BD Total'!$A:$FA,22,FALSE)</f>
        <v>4631</v>
      </c>
      <c r="N12" s="53">
        <f>+VLOOKUP($B12,ESSALUD!$B$2:$H$18,6,FALSE)</f>
        <v>426.96</v>
      </c>
      <c r="O12" s="53">
        <f>+VLOOKUP($B12,ESSALUD!$B$2:$H$18,7,FALSE)</f>
        <v>0</v>
      </c>
      <c r="P12" s="24">
        <f t="shared" si="1"/>
        <v>4631</v>
      </c>
      <c r="Q12" s="25">
        <f t="shared" si="0"/>
        <v>426.96</v>
      </c>
      <c r="R12" s="23">
        <f t="shared" si="2"/>
        <v>4204.04</v>
      </c>
      <c r="S12" s="6">
        <v>10</v>
      </c>
    </row>
    <row r="13" spans="1:19">
      <c r="A13" s="6">
        <v>11</v>
      </c>
      <c r="B13" s="6" t="s">
        <v>69</v>
      </c>
      <c r="C13" s="6" t="s">
        <v>115</v>
      </c>
      <c r="D13" s="22" t="s">
        <v>71</v>
      </c>
      <c r="E13" s="22" t="str">
        <f>+VLOOKUP($B13,'BD Total'!$A:$BX,76,0)</f>
        <v>IPS</v>
      </c>
      <c r="F13" s="22" t="str">
        <f>+VLOOKUP($B13,'BD Total'!$A:$BY,77,0)</f>
        <v xml:space="preserve"> IP PROSECUTION SPECIALIST </v>
      </c>
      <c r="G13" s="22" t="str">
        <f>+VLOOKUP($B13,'BD Total'!$A:$CB,80,0)</f>
        <v>002</v>
      </c>
      <c r="H13" s="22" t="str">
        <f>+VLOOKUP($B13,'BD Total'!$A:$CC,81,0)</f>
        <v>CENTRAL SERVICES</v>
      </c>
      <c r="I13" s="22" t="str">
        <f>+VLOOKUP($B13,'BD Total'!$A:$FA,85,FALSE)</f>
        <v>655610ZCBIT4</v>
      </c>
      <c r="J13" s="32">
        <v>364.87125000000003</v>
      </c>
      <c r="K13" s="6" t="str">
        <f>IFERROR(VLOOKUP($B13,'BD Total'!$A:$EW,101,0),0)</f>
        <v>PRIMA</v>
      </c>
      <c r="L13" s="52">
        <f>VLOOKUP($B13,'BD Total'!$A:$K,11,0)</f>
        <v>45323</v>
      </c>
      <c r="M13" s="56">
        <f>+VLOOKUP($B13,'BD Total'!$A:$FA,22,FALSE)</f>
        <v>2142</v>
      </c>
      <c r="N13" s="53">
        <f>+VLOOKUP($B13,ESSALUD!$B$2:$H$18,6,FALSE)</f>
        <v>144.58500000000001</v>
      </c>
      <c r="O13" s="53">
        <f>+VLOOKUP($B13,ESSALUD!$B$2:$H$18,7,FALSE)</f>
        <v>48.194999999999993</v>
      </c>
      <c r="P13" s="24">
        <f t="shared" si="1"/>
        <v>2142</v>
      </c>
      <c r="Q13" s="25">
        <f t="shared" si="0"/>
        <v>192.78</v>
      </c>
      <c r="R13" s="23">
        <f t="shared" si="2"/>
        <v>1949.22</v>
      </c>
      <c r="S13" s="6">
        <v>11</v>
      </c>
    </row>
    <row r="14" spans="1:19" s="36" customFormat="1">
      <c r="A14" s="6">
        <v>12</v>
      </c>
      <c r="B14" s="6" t="s">
        <v>73</v>
      </c>
      <c r="C14" s="6" t="s">
        <v>136</v>
      </c>
      <c r="D14" s="22" t="s">
        <v>75</v>
      </c>
      <c r="E14" s="22" t="str">
        <f>+VLOOKUP($B14,'BD Total'!$A:$BX,76,0)</f>
        <v>P019</v>
      </c>
      <c r="F14" s="22" t="str">
        <f>+VLOOKUP($B14,'BD Total'!$A:$BY,77,0)</f>
        <v>IP SPECIALIST</v>
      </c>
      <c r="G14" s="22" t="str">
        <f>+VLOOKUP($B14,'BD Total'!$A:$CB,80,0)</f>
        <v>011</v>
      </c>
      <c r="H14" s="22" t="str">
        <f>+VLOOKUP($B14,'BD Total'!$A:$CC,81,0)</f>
        <v>INVENTIONS</v>
      </c>
      <c r="I14" s="22" t="str">
        <f>+VLOOKUP($B14,'BD Total'!$A:$FA,85,FALSE)</f>
        <v>627991JMXQX0</v>
      </c>
      <c r="J14" s="35">
        <v>0</v>
      </c>
      <c r="K14" s="6" t="str">
        <f>IFERROR(VLOOKUP($B14,'BD Total'!$A:$EW,101,0),0)</f>
        <v>HABITAT</v>
      </c>
      <c r="L14" s="52">
        <f>VLOOKUP($B14,'BD Total'!$A:$K,11,0)</f>
        <v>42438</v>
      </c>
      <c r="M14" s="56">
        <f>+VLOOKUP($B14,'BD Total'!$A:$FA,22,FALSE)</f>
        <v>6644</v>
      </c>
      <c r="N14" s="53">
        <f>+VLOOKUP($B14,ESSALUD!$B$2:$H$18,6,FALSE)</f>
        <v>448.47</v>
      </c>
      <c r="O14" s="53">
        <f>+VLOOKUP($B14,ESSALUD!$B$2:$H$18,7,FALSE)</f>
        <v>149.4899999999999</v>
      </c>
      <c r="P14" s="24">
        <f t="shared" si="1"/>
        <v>6644</v>
      </c>
      <c r="Q14" s="25">
        <f t="shared" si="0"/>
        <v>597.95999999999992</v>
      </c>
      <c r="R14" s="23">
        <f t="shared" si="2"/>
        <v>6046.04</v>
      </c>
      <c r="S14" s="6">
        <v>12</v>
      </c>
    </row>
    <row r="15" spans="1:19">
      <c r="A15" s="6">
        <v>13</v>
      </c>
      <c r="B15" s="6" t="s">
        <v>81</v>
      </c>
      <c r="C15" s="6" t="s">
        <v>141</v>
      </c>
      <c r="D15" s="22" t="s">
        <v>64</v>
      </c>
      <c r="E15" s="22" t="str">
        <f>+VLOOKUP($B15,'BD Total'!$A:$BX,76,0)</f>
        <v>IPS</v>
      </c>
      <c r="F15" s="22" t="str">
        <f>+VLOOKUP($B15,'BD Total'!$A:$BY,77,0)</f>
        <v xml:space="preserve"> IP PROSECUTION SPECIALIST </v>
      </c>
      <c r="G15" s="22" t="str">
        <f>+VLOOKUP($B15,'BD Total'!$A:$CB,80,0)</f>
        <v>002</v>
      </c>
      <c r="H15" s="22" t="str">
        <f>+VLOOKUP($B15,'BD Total'!$A:$CC,81,0)</f>
        <v>CENTRAL SERVICES</v>
      </c>
      <c r="I15" s="22" t="str">
        <f>+VLOOKUP($B15,'BD Total'!$A:$FA,85,FALSE)</f>
        <v>FACILITIES</v>
      </c>
      <c r="J15" s="32">
        <v>406.48500000000001</v>
      </c>
      <c r="K15" s="6" t="str">
        <f>IFERROR(VLOOKUP($B15,'BD Total'!$A:$EW,101,0),0)</f>
        <v>INTEGRA</v>
      </c>
      <c r="L15" s="52">
        <f>VLOOKUP($B15,'BD Total'!$A:$K,11,0)</f>
        <v>45740</v>
      </c>
      <c r="M15" s="56">
        <f>+VLOOKUP($B15,'BD Total'!$A:$FA,22,FALSE)</f>
        <v>3090</v>
      </c>
      <c r="N15" s="53">
        <f>+VLOOKUP($B15,ESSALUD!$B$2:$H$18,6,FALSE)</f>
        <v>208.57500000000002</v>
      </c>
      <c r="O15" s="53">
        <f>+VLOOKUP($B15,ESSALUD!$B$2:$H$18,7,FALSE)</f>
        <v>69.524999999999949</v>
      </c>
      <c r="P15" s="24">
        <f t="shared" si="1"/>
        <v>3090</v>
      </c>
      <c r="Q15" s="25">
        <f t="shared" si="0"/>
        <v>278.09999999999997</v>
      </c>
      <c r="R15" s="23">
        <f t="shared" si="2"/>
        <v>2811.9</v>
      </c>
      <c r="S15" s="6">
        <v>13</v>
      </c>
    </row>
    <row r="16" spans="1:19">
      <c r="A16" s="6">
        <v>14</v>
      </c>
      <c r="B16" s="6" t="s">
        <v>64</v>
      </c>
      <c r="C16" s="6" t="s">
        <v>132</v>
      </c>
      <c r="D16" s="22" t="s">
        <v>77</v>
      </c>
      <c r="E16" s="22" t="str">
        <f>+VLOOKUP($B16,'BD Total'!$A:$BX,76,0)</f>
        <v>P019</v>
      </c>
      <c r="F16" s="22" t="str">
        <f>+VLOOKUP($B16,'BD Total'!$A:$BY,77,0)</f>
        <v>IP SPECIALIST</v>
      </c>
      <c r="G16" s="22" t="str">
        <f>+VLOOKUP($B16,'BD Total'!$A:$CB,80,0)</f>
        <v>003</v>
      </c>
      <c r="H16" s="22" t="str">
        <f>+VLOOKUP($B16,'BD Total'!$A:$CC,81,0)</f>
        <v>TRADEMARKS</v>
      </c>
      <c r="I16" s="22" t="str">
        <f>+VLOOKUP($B16,'BD Total'!$A:$FA,85,FALSE)</f>
        <v>309631GHMAI4</v>
      </c>
      <c r="J16" s="32">
        <v>168.75</v>
      </c>
      <c r="K16" s="6" t="str">
        <f>IFERROR(VLOOKUP($B16,'BD Total'!$A:$EW,101,0),0)</f>
        <v>HABITAT</v>
      </c>
      <c r="L16" s="52">
        <f>VLOOKUP($B16,'BD Total'!$A:$K,11,0)</f>
        <v>45637</v>
      </c>
      <c r="M16" s="56">
        <f>+VLOOKUP($B16,'BD Total'!$A:$FA,22,FALSE)</f>
        <v>5768</v>
      </c>
      <c r="N16" s="53">
        <f>+VLOOKUP($B16,ESSALUD!$B$2:$H$18,6,FALSE)</f>
        <v>389.34000000000003</v>
      </c>
      <c r="O16" s="53">
        <f>+VLOOKUP($B16,ESSALUD!$B$2:$H$18,7,FALSE)</f>
        <v>129.77999999999997</v>
      </c>
      <c r="P16" s="24">
        <f t="shared" si="1"/>
        <v>5768</v>
      </c>
      <c r="Q16" s="25">
        <f t="shared" si="0"/>
        <v>519.12</v>
      </c>
      <c r="R16" s="23">
        <f t="shared" si="2"/>
        <v>5248.88</v>
      </c>
      <c r="S16" s="6">
        <v>14</v>
      </c>
    </row>
    <row r="17" spans="1:19">
      <c r="A17" s="6">
        <v>15</v>
      </c>
      <c r="B17" s="6" t="s">
        <v>77</v>
      </c>
      <c r="C17" s="6" t="s">
        <v>137</v>
      </c>
      <c r="D17" s="22" t="s">
        <v>79</v>
      </c>
      <c r="E17" s="22" t="str">
        <f>+VLOOKUP($B17,'BD Total'!$A:$BX,76,0)</f>
        <v>IPP</v>
      </c>
      <c r="F17" s="22" t="str">
        <f>+VLOOKUP($B17,'BD Total'!$A:$BY,77,0)</f>
        <v>IP PROCUREMENT SPECIALIST</v>
      </c>
      <c r="G17" s="22" t="str">
        <f>+VLOOKUP($B17,'BD Total'!$A:$CB,80,0)</f>
        <v>003</v>
      </c>
      <c r="H17" s="22" t="str">
        <f>+VLOOKUP($B17,'BD Total'!$A:$CC,81,0)</f>
        <v>TRADEMARKS</v>
      </c>
      <c r="I17" s="22" t="str">
        <f>+VLOOKUP($B17,'BD Total'!$A:$FA,85,FALSE)</f>
        <v>663680JMDIO1</v>
      </c>
      <c r="K17" s="6" t="str">
        <f>IFERROR(VLOOKUP($B17,'BD Total'!$A:$EW,101,0),0)</f>
        <v>INTEGRA</v>
      </c>
      <c r="L17" s="52">
        <f>VLOOKUP($B17,'BD Total'!$A:$K,11,0)</f>
        <v>45208</v>
      </c>
      <c r="M17" s="56">
        <f>+VLOOKUP($B17,'BD Total'!$A:$FA,22,FALSE)</f>
        <v>2652</v>
      </c>
      <c r="N17" s="53">
        <f>+VLOOKUP($B17,ESSALUD!$B$2:$H$18,6,FALSE)</f>
        <v>179.01000000000002</v>
      </c>
      <c r="O17" s="53">
        <f>+VLOOKUP($B17,ESSALUD!$B$2:$H$18,7,FALSE)</f>
        <v>59.669999999999959</v>
      </c>
      <c r="P17" s="24">
        <f t="shared" si="1"/>
        <v>2652</v>
      </c>
      <c r="Q17" s="25">
        <f t="shared" si="0"/>
        <v>238.67999999999998</v>
      </c>
      <c r="R17" s="23">
        <f t="shared" ref="R17" si="3">+P17-Q17</f>
        <v>2413.3200000000002</v>
      </c>
      <c r="S17" s="6">
        <v>15</v>
      </c>
    </row>
    <row r="18" spans="1:19">
      <c r="A18" s="6">
        <v>16</v>
      </c>
      <c r="B18" s="6" t="s">
        <v>80</v>
      </c>
      <c r="C18" s="6" t="s">
        <v>124</v>
      </c>
      <c r="K18" s="6" t="str">
        <f>IFERROR(VLOOKUP($B18,'BD Total'!$A:$EW,101,0),0)</f>
        <v/>
      </c>
      <c r="L18" s="52">
        <f>VLOOKUP($B18,'BD Total'!$A:$K,11,0)</f>
        <v>45740</v>
      </c>
      <c r="M18" s="56">
        <f>+VLOOKUP($B18,'BD Total'!$A:$FA,22,FALSE)</f>
        <v>1130</v>
      </c>
      <c r="N18" s="53">
        <f>+VLOOKUP($B18,ESSALUD!$B$2:$H$18,6,FALSE)</f>
        <v>0</v>
      </c>
      <c r="O18" s="53">
        <f>+VLOOKUP($B18,ESSALUD!$B$2:$H$18,7,FALSE)</f>
        <v>0</v>
      </c>
      <c r="P18" s="24">
        <f t="shared" si="1"/>
        <v>1130</v>
      </c>
      <c r="Q18" s="25">
        <f t="shared" si="0"/>
        <v>0</v>
      </c>
      <c r="R18" s="23">
        <f t="shared" ref="R18:R19" si="4">+P18-Q18</f>
        <v>1130</v>
      </c>
      <c r="S18" s="6">
        <v>16</v>
      </c>
    </row>
    <row r="19" spans="1:19">
      <c r="A19" s="6">
        <v>17</v>
      </c>
      <c r="B19" s="6" t="s">
        <v>591</v>
      </c>
      <c r="C19" s="6" t="s">
        <v>603</v>
      </c>
      <c r="K19" s="6" t="str">
        <f>IFERROR(VLOOKUP($B19,'BD Total'!$A:$EW,101,0),0)</f>
        <v/>
      </c>
      <c r="L19" s="52">
        <f>VLOOKUP($B19,'BD Total'!$A:$K,11,0)</f>
        <v>46153</v>
      </c>
      <c r="M19" s="56">
        <f>+VLOOKUP($B19,'BD Total'!$A:$FA,22,FALSE)</f>
        <v>1130</v>
      </c>
      <c r="N19" s="53">
        <f>+VLOOKUP($B19,ESSALUD!$B$2:$H$18,6,FALSE)</f>
        <v>0</v>
      </c>
      <c r="O19" s="53">
        <f>+VLOOKUP($B19,ESSALUD!$B$2:$H$18,7,FALSE)</f>
        <v>0</v>
      </c>
      <c r="P19" s="24">
        <f t="shared" si="1"/>
        <v>1130</v>
      </c>
      <c r="Q19" s="25">
        <f t="shared" si="0"/>
        <v>0</v>
      </c>
      <c r="R19" s="23">
        <f t="shared" si="4"/>
        <v>1130</v>
      </c>
      <c r="S19" s="6">
        <v>17</v>
      </c>
    </row>
    <row r="20" spans="1:19">
      <c r="N20" s="50">
        <f>SUM(N3:N19)</f>
        <v>5689.1250000000009</v>
      </c>
      <c r="O20" s="50">
        <f>SUM(O3:O19)</f>
        <v>1754.0549999999994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1:I19"/>
  <sheetViews>
    <sheetView showGridLines="0" workbookViewId="0">
      <selection activeCell="A17" sqref="A17:XFD18"/>
    </sheetView>
  </sheetViews>
  <sheetFormatPr baseColWidth="10" defaultColWidth="11.44140625" defaultRowHeight="14.4"/>
  <cols>
    <col min="5" max="5" width="30.88671875" customWidth="1"/>
    <col min="7" max="9" width="11.44140625" style="30"/>
  </cols>
  <sheetData>
    <row r="1" spans="1:9" ht="27">
      <c r="A1" s="41" t="s">
        <v>153</v>
      </c>
      <c r="B1" s="41" t="s">
        <v>154</v>
      </c>
      <c r="C1" s="41" t="s">
        <v>155</v>
      </c>
      <c r="D1" s="41" t="s">
        <v>156</v>
      </c>
      <c r="E1" s="41" t="s">
        <v>157</v>
      </c>
      <c r="F1" s="41" t="s">
        <v>68</v>
      </c>
      <c r="G1" s="42" t="s">
        <v>63</v>
      </c>
      <c r="H1" s="42" t="s">
        <v>68</v>
      </c>
      <c r="I1" s="42" t="s">
        <v>158</v>
      </c>
    </row>
    <row r="2" spans="1:9">
      <c r="A2" s="39">
        <v>1</v>
      </c>
      <c r="B2" s="67" t="s">
        <v>12</v>
      </c>
      <c r="C2" s="39" t="s">
        <v>159</v>
      </c>
      <c r="D2" s="39" t="s">
        <v>14</v>
      </c>
      <c r="E2" s="67" t="s">
        <v>139</v>
      </c>
      <c r="F2" s="40" t="s">
        <v>160</v>
      </c>
      <c r="G2" s="40">
        <v>270.81</v>
      </c>
      <c r="H2" s="40">
        <v>90.269999999999982</v>
      </c>
      <c r="I2" s="40">
        <f>+G2+H2</f>
        <v>361.08</v>
      </c>
    </row>
    <row r="3" spans="1:9">
      <c r="A3" s="39">
        <v>2</v>
      </c>
      <c r="B3" s="67" t="s">
        <v>19</v>
      </c>
      <c r="C3" s="39" t="s">
        <v>159</v>
      </c>
      <c r="D3" s="39" t="s">
        <v>21</v>
      </c>
      <c r="E3" s="67" t="s">
        <v>125</v>
      </c>
      <c r="F3" s="40" t="s">
        <v>160</v>
      </c>
      <c r="G3" s="40">
        <v>249.75000000000003</v>
      </c>
      <c r="H3" s="40">
        <v>83.249999999999972</v>
      </c>
      <c r="I3" s="40">
        <f t="shared" ref="I3:I18" si="0">+G3+H3</f>
        <v>333</v>
      </c>
    </row>
    <row r="4" spans="1:9">
      <c r="A4" s="39">
        <v>3</v>
      </c>
      <c r="B4" s="67" t="s">
        <v>22</v>
      </c>
      <c r="C4" s="39" t="s">
        <v>159</v>
      </c>
      <c r="D4" s="39" t="s">
        <v>24</v>
      </c>
      <c r="E4" s="67" t="s">
        <v>131</v>
      </c>
      <c r="F4" s="40" t="s">
        <v>160</v>
      </c>
      <c r="G4" s="40">
        <v>596.83500000000004</v>
      </c>
      <c r="H4" s="40">
        <v>198.94499999999994</v>
      </c>
      <c r="I4" s="40">
        <f t="shared" si="0"/>
        <v>795.78</v>
      </c>
    </row>
    <row r="5" spans="1:9">
      <c r="A5" s="39">
        <v>4</v>
      </c>
      <c r="B5" s="67" t="s">
        <v>29</v>
      </c>
      <c r="C5" s="39" t="s">
        <v>159</v>
      </c>
      <c r="D5" s="39" t="s">
        <v>31</v>
      </c>
      <c r="E5" s="67" t="s">
        <v>104</v>
      </c>
      <c r="F5" s="40" t="s">
        <v>160</v>
      </c>
      <c r="G5" s="40">
        <v>986.51250000000005</v>
      </c>
      <c r="H5" s="40">
        <v>328.83749999999986</v>
      </c>
      <c r="I5" s="40">
        <f t="shared" si="0"/>
        <v>1315.35</v>
      </c>
    </row>
    <row r="6" spans="1:9">
      <c r="A6" s="39">
        <v>5</v>
      </c>
      <c r="B6" s="67" t="s">
        <v>32</v>
      </c>
      <c r="C6" s="39" t="s">
        <v>159</v>
      </c>
      <c r="D6" s="39" t="s">
        <v>34</v>
      </c>
      <c r="E6" s="67" t="s">
        <v>135</v>
      </c>
      <c r="F6" s="40" t="s">
        <v>160</v>
      </c>
      <c r="G6" s="40">
        <v>261.29250000000002</v>
      </c>
      <c r="H6" s="40">
        <v>87.097499999999968</v>
      </c>
      <c r="I6" s="40">
        <f t="shared" si="0"/>
        <v>348.39</v>
      </c>
    </row>
    <row r="7" spans="1:9">
      <c r="A7" s="39">
        <v>6</v>
      </c>
      <c r="B7" s="67" t="s">
        <v>40</v>
      </c>
      <c r="C7" s="39" t="s">
        <v>159</v>
      </c>
      <c r="D7" s="39" t="s">
        <v>42</v>
      </c>
      <c r="E7" s="67" t="s">
        <v>134</v>
      </c>
      <c r="F7" s="40" t="s">
        <v>160</v>
      </c>
      <c r="G7" s="40">
        <v>386.97750000000002</v>
      </c>
      <c r="H7" s="40">
        <v>128.99250000000001</v>
      </c>
      <c r="I7" s="40">
        <f t="shared" si="0"/>
        <v>515.97</v>
      </c>
    </row>
    <row r="8" spans="1:9">
      <c r="A8" s="39">
        <v>7</v>
      </c>
      <c r="B8" s="67" t="s">
        <v>44</v>
      </c>
      <c r="C8" s="39" t="s">
        <v>159</v>
      </c>
      <c r="D8" s="39" t="s">
        <v>46</v>
      </c>
      <c r="E8" s="67" t="s">
        <v>138</v>
      </c>
      <c r="F8" s="40" t="s">
        <v>160</v>
      </c>
      <c r="G8" s="40">
        <v>442.26000000000005</v>
      </c>
      <c r="H8" s="40">
        <v>147.4199999999999</v>
      </c>
      <c r="I8" s="40">
        <f t="shared" si="0"/>
        <v>589.67999999999995</v>
      </c>
    </row>
    <row r="9" spans="1:9">
      <c r="A9" s="39">
        <v>8</v>
      </c>
      <c r="B9" s="67" t="s">
        <v>47</v>
      </c>
      <c r="C9" s="39" t="s">
        <v>159</v>
      </c>
      <c r="D9" s="39" t="s">
        <v>49</v>
      </c>
      <c r="E9" s="67" t="s">
        <v>130</v>
      </c>
      <c r="F9" s="40" t="s">
        <v>160</v>
      </c>
      <c r="G9" s="40">
        <v>276.6825</v>
      </c>
      <c r="H9" s="40">
        <v>92.227499999999964</v>
      </c>
      <c r="I9" s="40">
        <f t="shared" si="0"/>
        <v>368.90999999999997</v>
      </c>
    </row>
    <row r="10" spans="1:9">
      <c r="A10" s="39">
        <v>9</v>
      </c>
      <c r="B10" s="67" t="s">
        <v>53</v>
      </c>
      <c r="C10" s="39" t="s">
        <v>159</v>
      </c>
      <c r="D10" s="39" t="s">
        <v>54</v>
      </c>
      <c r="E10" s="67" t="s">
        <v>140</v>
      </c>
      <c r="F10" s="40" t="s">
        <v>160</v>
      </c>
      <c r="G10" s="40">
        <v>421.06500000000005</v>
      </c>
      <c r="H10" s="40">
        <v>140.3549999999999</v>
      </c>
      <c r="I10" s="40">
        <f t="shared" si="0"/>
        <v>561.41999999999996</v>
      </c>
    </row>
    <row r="11" spans="1:9" ht="14.25" customHeight="1">
      <c r="A11" s="39">
        <v>10</v>
      </c>
      <c r="B11" s="67" t="s">
        <v>58</v>
      </c>
      <c r="C11" s="39" t="s">
        <v>159</v>
      </c>
      <c r="D11" s="39" t="s">
        <v>60</v>
      </c>
      <c r="E11" s="67" t="s">
        <v>133</v>
      </c>
      <c r="F11" s="40" t="s">
        <v>161</v>
      </c>
      <c r="G11" s="40">
        <v>426.96</v>
      </c>
      <c r="H11" s="40">
        <v>0</v>
      </c>
      <c r="I11" s="40">
        <f t="shared" si="0"/>
        <v>426.96</v>
      </c>
    </row>
    <row r="12" spans="1:9">
      <c r="A12" s="39">
        <v>11</v>
      </c>
      <c r="B12" s="67" t="s">
        <v>69</v>
      </c>
      <c r="C12" s="39" t="s">
        <v>159</v>
      </c>
      <c r="D12" s="39" t="s">
        <v>71</v>
      </c>
      <c r="E12" s="67" t="s">
        <v>115</v>
      </c>
      <c r="F12" s="40" t="s">
        <v>160</v>
      </c>
      <c r="G12" s="40">
        <v>144.58500000000001</v>
      </c>
      <c r="H12" s="40">
        <v>48.194999999999993</v>
      </c>
      <c r="I12" s="40">
        <f t="shared" si="0"/>
        <v>192.78</v>
      </c>
    </row>
    <row r="13" spans="1:9">
      <c r="A13" s="39">
        <v>12</v>
      </c>
      <c r="B13" s="67" t="s">
        <v>73</v>
      </c>
      <c r="C13" s="39" t="s">
        <v>162</v>
      </c>
      <c r="D13" s="39" t="s">
        <v>75</v>
      </c>
      <c r="E13" s="67" t="s">
        <v>136</v>
      </c>
      <c r="F13" s="40" t="s">
        <v>160</v>
      </c>
      <c r="G13" s="40">
        <v>448.47</v>
      </c>
      <c r="H13" s="40">
        <v>149.4899999999999</v>
      </c>
      <c r="I13" s="40">
        <f t="shared" si="0"/>
        <v>597.95999999999992</v>
      </c>
    </row>
    <row r="14" spans="1:9">
      <c r="A14" s="39">
        <v>13</v>
      </c>
      <c r="B14" s="67" t="s">
        <v>81</v>
      </c>
      <c r="C14" s="39" t="s">
        <v>159</v>
      </c>
      <c r="D14" s="39" t="s">
        <v>81</v>
      </c>
      <c r="E14" s="67" t="s">
        <v>141</v>
      </c>
      <c r="F14" s="40" t="s">
        <v>160</v>
      </c>
      <c r="G14" s="40">
        <v>208.57500000000002</v>
      </c>
      <c r="H14" s="40">
        <v>69.524999999999949</v>
      </c>
      <c r="I14" s="40">
        <f t="shared" si="0"/>
        <v>278.09999999999997</v>
      </c>
    </row>
    <row r="15" spans="1:9">
      <c r="A15" s="39">
        <v>14</v>
      </c>
      <c r="B15" s="67" t="s">
        <v>64</v>
      </c>
      <c r="C15" s="39" t="s">
        <v>159</v>
      </c>
      <c r="D15" s="39" t="s">
        <v>64</v>
      </c>
      <c r="E15" s="67" t="s">
        <v>132</v>
      </c>
      <c r="F15" s="40" t="s">
        <v>160</v>
      </c>
      <c r="G15" s="40">
        <v>389.34000000000003</v>
      </c>
      <c r="H15" s="40">
        <v>129.77999999999997</v>
      </c>
      <c r="I15" s="40">
        <f t="shared" si="0"/>
        <v>519.12</v>
      </c>
    </row>
    <row r="16" spans="1:9">
      <c r="A16" s="39">
        <v>15</v>
      </c>
      <c r="B16" s="67" t="s">
        <v>77</v>
      </c>
      <c r="C16" s="39" t="s">
        <v>159</v>
      </c>
      <c r="D16" s="39" t="s">
        <v>77</v>
      </c>
      <c r="E16" s="67" t="s">
        <v>137</v>
      </c>
      <c r="F16" s="40" t="s">
        <v>160</v>
      </c>
      <c r="G16" s="40">
        <v>179.01000000000002</v>
      </c>
      <c r="H16" s="40">
        <v>59.669999999999959</v>
      </c>
      <c r="I16" s="40">
        <f t="shared" si="0"/>
        <v>238.67999999999998</v>
      </c>
    </row>
    <row r="17" spans="1:9">
      <c r="A17" s="39">
        <v>16</v>
      </c>
      <c r="B17" s="67" t="s">
        <v>80</v>
      </c>
      <c r="C17" s="39" t="s">
        <v>159</v>
      </c>
      <c r="D17" s="39" t="s">
        <v>80</v>
      </c>
      <c r="E17" s="67" t="s">
        <v>124</v>
      </c>
      <c r="F17" s="40" t="s">
        <v>160</v>
      </c>
      <c r="G17" s="40">
        <v>0</v>
      </c>
      <c r="H17" s="40">
        <v>0</v>
      </c>
      <c r="I17" s="40">
        <f t="shared" si="0"/>
        <v>0</v>
      </c>
    </row>
    <row r="18" spans="1:9">
      <c r="A18" s="39">
        <v>17</v>
      </c>
      <c r="B18" s="67" t="s">
        <v>591</v>
      </c>
      <c r="C18" s="39" t="s">
        <v>159</v>
      </c>
      <c r="D18" s="39" t="s">
        <v>591</v>
      </c>
      <c r="E18" s="67" t="s">
        <v>603</v>
      </c>
      <c r="F18" s="40" t="s">
        <v>160</v>
      </c>
      <c r="G18" s="40">
        <v>0</v>
      </c>
      <c r="H18" s="40">
        <v>0</v>
      </c>
      <c r="I18" s="40">
        <f t="shared" si="0"/>
        <v>0</v>
      </c>
    </row>
    <row r="19" spans="1:9">
      <c r="G19" s="54">
        <f>SUM(G2:G18)</f>
        <v>5689.1250000000009</v>
      </c>
      <c r="H19" s="54">
        <f>SUM(H2:H18)</f>
        <v>1754.0549999999994</v>
      </c>
      <c r="I19" s="54">
        <f>SUM(I2:I18)</f>
        <v>7443.18</v>
      </c>
    </row>
  </sheetData>
  <conditionalFormatting sqref="B2:B17">
    <cfRule type="duplicateValues" dxfId="1" priority="9"/>
  </conditionalFormatting>
  <conditionalFormatting sqref="B18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9"/>
  <dimension ref="A1:FO18"/>
  <sheetViews>
    <sheetView showGridLines="0" zoomScale="75" zoomScaleNormal="75" workbookViewId="0">
      <pane xSplit="6" ySplit="1" topLeftCell="FX2" activePane="bottomRight" state="frozen"/>
      <selection pane="topRight" activeCell="G1" sqref="G1"/>
      <selection pane="bottomLeft" activeCell="A2" sqref="A2"/>
      <selection pane="bottomRight" activeCell="GE21" sqref="GE21"/>
    </sheetView>
  </sheetViews>
  <sheetFormatPr baseColWidth="10" defaultColWidth="9.109375" defaultRowHeight="14.4"/>
  <cols>
    <col min="1" max="1" width="12.33203125" customWidth="1"/>
    <col min="2" max="2" width="13.6640625" customWidth="1"/>
    <col min="3" max="3" width="13.5546875" customWidth="1"/>
    <col min="4" max="4" width="24.6640625" customWidth="1"/>
    <col min="5" max="5" width="21.88671875" customWidth="1"/>
    <col min="6" max="6" width="20" customWidth="1"/>
    <col min="7" max="7" width="10.33203125" customWidth="1"/>
    <col min="8" max="8" width="30.33203125" customWidth="1"/>
    <col min="9" max="9" width="14.88671875" customWidth="1"/>
    <col min="10" max="10" width="12" bestFit="1" customWidth="1"/>
    <col min="11" max="11" width="14.88671875" customWidth="1"/>
    <col min="12" max="12" width="16" customWidth="1"/>
    <col min="13" max="13" width="13.109375" customWidth="1"/>
    <col min="14" max="14" width="18.33203125" customWidth="1"/>
    <col min="15" max="15" width="11.33203125" customWidth="1"/>
    <col min="16" max="16" width="16.44140625" customWidth="1"/>
    <col min="18" max="18" width="15.5546875" customWidth="1"/>
    <col min="19" max="19" width="9.6640625" customWidth="1"/>
    <col min="20" max="20" width="17.44140625" customWidth="1"/>
    <col min="21" max="21" width="12.33203125" customWidth="1"/>
    <col min="22" max="22" width="10.44140625" bestFit="1" customWidth="1"/>
    <col min="23" max="23" width="9.88671875" customWidth="1"/>
    <col min="24" max="24" width="15.109375" customWidth="1"/>
    <col min="25" max="25" width="13.5546875" customWidth="1"/>
    <col min="26" max="26" width="11" customWidth="1"/>
    <col min="27" max="36" width="11.6640625" customWidth="1"/>
    <col min="37" max="37" width="15.6640625" customWidth="1"/>
    <col min="38" max="38" width="18" customWidth="1"/>
    <col min="39" max="39" width="13.6640625" customWidth="1"/>
    <col min="40" max="40" width="14.33203125" customWidth="1"/>
    <col min="42" max="42" width="12.88671875" customWidth="1"/>
    <col min="43" max="43" width="9.109375" customWidth="1"/>
    <col min="44" max="45" width="10.88671875" customWidth="1"/>
    <col min="46" max="46" width="10.33203125" customWidth="1"/>
    <col min="47" max="47" width="13.6640625" customWidth="1"/>
    <col min="48" max="48" width="64.33203125" customWidth="1"/>
    <col min="49" max="49" width="14.5546875" customWidth="1"/>
    <col min="50" max="50" width="11.33203125" customWidth="1"/>
    <col min="51" max="51" width="9.5546875" customWidth="1"/>
    <col min="52" max="52" width="11.44140625" customWidth="1"/>
    <col min="53" max="53" width="25.88671875" customWidth="1"/>
    <col min="55" max="55" width="10.88671875" customWidth="1"/>
    <col min="56" max="56" width="22.33203125" customWidth="1"/>
    <col min="58" max="58" width="33.6640625" customWidth="1"/>
    <col min="59" max="59" width="14.88671875" customWidth="1"/>
    <col min="60" max="60" width="33.6640625" customWidth="1"/>
    <col min="61" max="61" width="23.33203125" customWidth="1"/>
    <col min="62" max="62" width="9.44140625" customWidth="1"/>
    <col min="63" max="63" width="14.6640625" customWidth="1"/>
    <col min="64" max="64" width="9.33203125" customWidth="1"/>
    <col min="65" max="65" width="13.109375" customWidth="1"/>
    <col min="66" max="66" width="22.33203125" customWidth="1"/>
    <col min="67" max="67" width="9.44140625" customWidth="1"/>
    <col min="68" max="68" width="32.109375" customWidth="1"/>
    <col min="69" max="69" width="10.6640625" customWidth="1"/>
    <col min="70" max="70" width="11.88671875" customWidth="1"/>
    <col min="71" max="71" width="30" customWidth="1"/>
    <col min="72" max="72" width="13" customWidth="1"/>
    <col min="73" max="73" width="32.109375" customWidth="1"/>
    <col min="75" max="75" width="34.44140625" customWidth="1"/>
    <col min="77" max="77" width="26.88671875" customWidth="1"/>
    <col min="79" max="79" width="24.33203125" customWidth="1"/>
    <col min="81" max="81" width="18" customWidth="1"/>
    <col min="83" max="83" width="32.109375" customWidth="1"/>
    <col min="84" max="84" width="12.33203125" customWidth="1"/>
    <col min="85" max="85" width="24.33203125" customWidth="1"/>
    <col min="87" max="87" width="14.33203125" customWidth="1"/>
    <col min="88" max="88" width="12.33203125" customWidth="1"/>
    <col min="89" max="89" width="32.109375" customWidth="1"/>
    <col min="90" max="90" width="11.44140625" customWidth="1"/>
    <col min="91" max="91" width="17.33203125" customWidth="1"/>
    <col min="93" max="93" width="13.5546875" customWidth="1"/>
    <col min="94" max="94" width="10.5546875" customWidth="1"/>
    <col min="95" max="95" width="15.88671875" customWidth="1"/>
    <col min="96" max="96" width="9.33203125" customWidth="1"/>
    <col min="99" max="99" width="9.33203125" customWidth="1"/>
    <col min="101" max="101" width="12.5546875" customWidth="1"/>
    <col min="103" max="103" width="13.33203125" customWidth="1"/>
    <col min="104" max="104" width="10.109375" customWidth="1"/>
    <col min="106" max="106" width="10.109375" customWidth="1"/>
    <col min="107" max="107" width="11.44140625" customWidth="1"/>
    <col min="108" max="108" width="16.5546875" customWidth="1"/>
    <col min="109" max="109" width="11.44140625" customWidth="1"/>
    <col min="110" max="110" width="24.33203125" customWidth="1"/>
    <col min="113" max="113" width="9.5546875" customWidth="1"/>
    <col min="114" max="115" width="13.109375" customWidth="1"/>
    <col min="116" max="116" width="12.6640625" customWidth="1"/>
    <col min="117" max="117" width="9.109375" customWidth="1"/>
    <col min="118" max="118" width="22.109375" customWidth="1"/>
    <col min="119" max="119" width="14" customWidth="1"/>
    <col min="120" max="120" width="19.109375" customWidth="1"/>
    <col min="121" max="121" width="9.6640625" customWidth="1"/>
    <col min="122" max="122" width="13.33203125" customWidth="1"/>
    <col min="123" max="123" width="18.44140625" customWidth="1"/>
    <col min="124" max="124" width="11.6640625" customWidth="1"/>
    <col min="125" max="125" width="16.6640625" customWidth="1"/>
    <col min="126" max="126" width="21.88671875" customWidth="1"/>
    <col min="127" max="127" width="12.109375" customWidth="1"/>
    <col min="128" max="128" width="26.5546875" customWidth="1"/>
    <col min="129" max="129" width="10.109375" customWidth="1"/>
    <col min="130" max="130" width="17.88671875" customWidth="1"/>
    <col min="131" max="131" width="14.5546875" customWidth="1"/>
    <col min="132" max="132" width="10.109375" customWidth="1"/>
    <col min="133" max="133" width="13" customWidth="1"/>
    <col min="134" max="134" width="9.109375" customWidth="1"/>
    <col min="135" max="135" width="13" customWidth="1"/>
    <col min="136" max="136" width="13.33203125" customWidth="1"/>
    <col min="137" max="137" width="18" customWidth="1"/>
    <col min="138" max="138" width="13.44140625" customWidth="1"/>
    <col min="139" max="139" width="11.5546875" customWidth="1"/>
    <col min="140" max="140" width="10.88671875" customWidth="1"/>
    <col min="141" max="141" width="16" customWidth="1"/>
    <col min="142" max="142" width="9.109375" customWidth="1"/>
    <col min="143" max="143" width="9.44140625" customWidth="1"/>
    <col min="144" max="144" width="18.33203125" customWidth="1"/>
    <col min="145" max="145" width="12.88671875" customWidth="1"/>
    <col min="146" max="146" width="19" customWidth="1"/>
    <col min="147" max="147" width="18" customWidth="1"/>
    <col min="148" max="148" width="20.109375" customWidth="1"/>
    <col min="149" max="149" width="33.6640625" customWidth="1"/>
    <col min="150" max="150" width="23.5546875" customWidth="1"/>
    <col min="151" max="151" width="21.33203125" customWidth="1"/>
    <col min="152" max="152" width="11.109375" customWidth="1"/>
    <col min="153" max="153" width="17.44140625" customWidth="1"/>
    <col min="155" max="155" width="13.33203125" customWidth="1"/>
  </cols>
  <sheetData>
    <row r="1" spans="1:171" s="21" customFormat="1">
      <c r="A1" s="21" t="s">
        <v>1</v>
      </c>
      <c r="B1" s="21" t="s">
        <v>95</v>
      </c>
      <c r="C1" s="21" t="s">
        <v>163</v>
      </c>
      <c r="D1" s="21" t="s">
        <v>164</v>
      </c>
      <c r="E1" s="21" t="s">
        <v>165</v>
      </c>
      <c r="F1" s="21" t="s">
        <v>166</v>
      </c>
      <c r="G1" s="21" t="s">
        <v>167</v>
      </c>
      <c r="H1" s="21" t="s">
        <v>168</v>
      </c>
      <c r="I1" s="21" t="s">
        <v>169</v>
      </c>
      <c r="J1" s="21" t="s">
        <v>170</v>
      </c>
      <c r="K1" s="21" t="s">
        <v>96</v>
      </c>
      <c r="L1" s="21" t="s">
        <v>171</v>
      </c>
      <c r="M1" s="21" t="s">
        <v>172</v>
      </c>
      <c r="N1" s="21" t="s">
        <v>173</v>
      </c>
      <c r="O1" s="21" t="s">
        <v>174</v>
      </c>
      <c r="P1" s="21" t="s">
        <v>175</v>
      </c>
      <c r="Q1" s="21" t="s">
        <v>176</v>
      </c>
      <c r="R1" s="21" t="s">
        <v>177</v>
      </c>
      <c r="S1" s="21" t="s">
        <v>178</v>
      </c>
      <c r="T1" s="21" t="s">
        <v>179</v>
      </c>
      <c r="U1" s="21" t="s">
        <v>180</v>
      </c>
      <c r="V1" s="21" t="s">
        <v>37</v>
      </c>
      <c r="W1" s="21" t="s">
        <v>181</v>
      </c>
      <c r="X1" s="21" t="s">
        <v>182</v>
      </c>
      <c r="Y1" s="21" t="s">
        <v>183</v>
      </c>
      <c r="Z1" s="21" t="s">
        <v>184</v>
      </c>
      <c r="AA1" s="21" t="s">
        <v>185</v>
      </c>
      <c r="AB1" s="21" t="s">
        <v>186</v>
      </c>
      <c r="AC1" s="21" t="s">
        <v>187</v>
      </c>
      <c r="AD1" s="21" t="s">
        <v>188</v>
      </c>
      <c r="AE1" s="21" t="s">
        <v>189</v>
      </c>
      <c r="AF1" s="21" t="s">
        <v>190</v>
      </c>
      <c r="AG1" s="21" t="s">
        <v>191</v>
      </c>
      <c r="AH1" s="21" t="s">
        <v>192</v>
      </c>
      <c r="AI1" s="21" t="s">
        <v>193</v>
      </c>
      <c r="AJ1" s="21" t="s">
        <v>194</v>
      </c>
      <c r="AK1" s="21" t="s">
        <v>195</v>
      </c>
      <c r="AL1" s="21" t="s">
        <v>196</v>
      </c>
      <c r="AM1" s="21" t="s">
        <v>197</v>
      </c>
      <c r="AN1" s="21" t="s">
        <v>198</v>
      </c>
      <c r="AO1" s="21" t="s">
        <v>199</v>
      </c>
      <c r="AP1" s="21" t="s">
        <v>200</v>
      </c>
      <c r="AQ1" s="21" t="s">
        <v>201</v>
      </c>
      <c r="AR1" s="21" t="s">
        <v>202</v>
      </c>
      <c r="AS1" s="21" t="s">
        <v>203</v>
      </c>
      <c r="AT1" s="21" t="s">
        <v>204</v>
      </c>
      <c r="AU1" s="21" t="s">
        <v>205</v>
      </c>
      <c r="AV1" s="21" t="s">
        <v>206</v>
      </c>
      <c r="AW1" s="21" t="s">
        <v>207</v>
      </c>
      <c r="AX1" s="21" t="s">
        <v>208</v>
      </c>
      <c r="AY1" s="21" t="s">
        <v>209</v>
      </c>
      <c r="AZ1" s="21" t="s">
        <v>210</v>
      </c>
      <c r="BA1" s="21" t="s">
        <v>211</v>
      </c>
      <c r="BB1" s="21" t="s">
        <v>212</v>
      </c>
      <c r="BC1" s="21" t="s">
        <v>213</v>
      </c>
      <c r="BD1" s="21" t="s">
        <v>214</v>
      </c>
      <c r="BE1" s="21" t="s">
        <v>215</v>
      </c>
      <c r="BF1" s="21" t="s">
        <v>216</v>
      </c>
      <c r="BG1" s="21" t="s">
        <v>217</v>
      </c>
      <c r="BH1" s="21" t="s">
        <v>218</v>
      </c>
      <c r="BI1" s="21" t="s">
        <v>219</v>
      </c>
      <c r="BJ1" s="21" t="s">
        <v>220</v>
      </c>
      <c r="BK1" s="21" t="s">
        <v>221</v>
      </c>
      <c r="BL1" s="21" t="s">
        <v>222</v>
      </c>
      <c r="BM1" s="21" t="s">
        <v>223</v>
      </c>
      <c r="BN1" s="21" t="s">
        <v>224</v>
      </c>
      <c r="BO1" s="21" t="s">
        <v>225</v>
      </c>
      <c r="BP1" s="21" t="s">
        <v>226</v>
      </c>
      <c r="BQ1" s="21" t="s">
        <v>227</v>
      </c>
      <c r="BR1" s="21" t="s">
        <v>228</v>
      </c>
      <c r="BS1" s="21" t="s">
        <v>229</v>
      </c>
      <c r="BT1" s="21" t="s">
        <v>230</v>
      </c>
      <c r="BU1" s="21" t="s">
        <v>231</v>
      </c>
      <c r="BV1" s="21" t="s">
        <v>232</v>
      </c>
      <c r="BW1" s="21" t="s">
        <v>233</v>
      </c>
      <c r="BX1" s="21" t="s">
        <v>143</v>
      </c>
      <c r="BY1" s="21" t="s">
        <v>234</v>
      </c>
      <c r="BZ1" s="21" t="s">
        <v>235</v>
      </c>
      <c r="CA1" s="21" t="s">
        <v>236</v>
      </c>
      <c r="CB1" s="21" t="s">
        <v>28</v>
      </c>
      <c r="CC1" s="21" t="s">
        <v>237</v>
      </c>
      <c r="CD1" s="21" t="s">
        <v>238</v>
      </c>
      <c r="CE1" s="21" t="s">
        <v>239</v>
      </c>
      <c r="CF1" s="21" t="s">
        <v>240</v>
      </c>
      <c r="CG1" s="21" t="s">
        <v>241</v>
      </c>
      <c r="CH1" s="21" t="s">
        <v>242</v>
      </c>
      <c r="CI1" s="21" t="s">
        <v>243</v>
      </c>
      <c r="CJ1" s="21" t="s">
        <v>244</v>
      </c>
      <c r="CK1" s="21" t="s">
        <v>245</v>
      </c>
      <c r="CL1" s="21" t="s">
        <v>246</v>
      </c>
      <c r="CM1" s="21" t="s">
        <v>247</v>
      </c>
      <c r="CN1" s="21" t="s">
        <v>248</v>
      </c>
      <c r="CO1" s="21" t="s">
        <v>249</v>
      </c>
      <c r="CP1" s="21" t="s">
        <v>250</v>
      </c>
      <c r="CQ1" s="21" t="s">
        <v>251</v>
      </c>
      <c r="CR1" s="21" t="s">
        <v>252</v>
      </c>
      <c r="CS1" s="21" t="s">
        <v>253</v>
      </c>
      <c r="CT1" s="21" t="s">
        <v>254</v>
      </c>
      <c r="CU1" s="21" t="s">
        <v>255</v>
      </c>
      <c r="CV1" s="21" t="s">
        <v>256</v>
      </c>
      <c r="CW1" s="21" t="s">
        <v>148</v>
      </c>
      <c r="CX1" s="21" t="s">
        <v>257</v>
      </c>
      <c r="CY1" s="21" t="s">
        <v>258</v>
      </c>
      <c r="CZ1" s="21" t="s">
        <v>259</v>
      </c>
      <c r="DA1" s="21" t="s">
        <v>260</v>
      </c>
      <c r="DB1" s="21" t="s">
        <v>261</v>
      </c>
      <c r="DC1" s="21" t="s">
        <v>262</v>
      </c>
      <c r="DD1" s="21" t="s">
        <v>263</v>
      </c>
      <c r="DE1" s="21" t="s">
        <v>264</v>
      </c>
      <c r="DF1" s="21" t="s">
        <v>265</v>
      </c>
      <c r="DG1" s="21" t="s">
        <v>266</v>
      </c>
      <c r="DH1" s="21" t="s">
        <v>267</v>
      </c>
      <c r="DI1" s="21" t="s">
        <v>268</v>
      </c>
      <c r="DJ1" s="21" t="s">
        <v>269</v>
      </c>
      <c r="DK1" s="21" t="s">
        <v>270</v>
      </c>
      <c r="DL1" s="21" t="s">
        <v>271</v>
      </c>
      <c r="DM1" s="21" t="s">
        <v>272</v>
      </c>
      <c r="DN1" s="21" t="s">
        <v>273</v>
      </c>
      <c r="DO1" s="21" t="s">
        <v>274</v>
      </c>
      <c r="DP1" s="21" t="s">
        <v>275</v>
      </c>
      <c r="DQ1" s="21" t="s">
        <v>276</v>
      </c>
      <c r="DR1" s="21" t="s">
        <v>277</v>
      </c>
      <c r="DS1" s="21" t="s">
        <v>278</v>
      </c>
      <c r="DT1" s="21" t="s">
        <v>279</v>
      </c>
      <c r="DU1" s="21" t="s">
        <v>280</v>
      </c>
      <c r="DV1" s="21" t="s">
        <v>281</v>
      </c>
      <c r="DW1" s="21" t="s">
        <v>282</v>
      </c>
      <c r="DX1" s="21" t="s">
        <v>283</v>
      </c>
      <c r="DY1" s="21" t="s">
        <v>284</v>
      </c>
      <c r="DZ1" s="21" t="s">
        <v>285</v>
      </c>
      <c r="EA1" s="21" t="s">
        <v>286</v>
      </c>
      <c r="EB1" s="21" t="s">
        <v>287</v>
      </c>
      <c r="EC1" s="21" t="s">
        <v>288</v>
      </c>
      <c r="ED1" s="21" t="s">
        <v>289</v>
      </c>
      <c r="EE1" s="21" t="s">
        <v>290</v>
      </c>
      <c r="EF1" s="21" t="s">
        <v>291</v>
      </c>
      <c r="EG1" s="21" t="s">
        <v>292</v>
      </c>
      <c r="EH1" s="21" t="s">
        <v>293</v>
      </c>
      <c r="EI1" s="21" t="s">
        <v>294</v>
      </c>
      <c r="EJ1" s="21" t="s">
        <v>295</v>
      </c>
      <c r="EK1" s="21" t="s">
        <v>296</v>
      </c>
      <c r="EL1" s="21" t="s">
        <v>297</v>
      </c>
      <c r="EM1" s="21" t="s">
        <v>298</v>
      </c>
      <c r="EN1" s="21" t="s">
        <v>299</v>
      </c>
      <c r="EO1" s="21" t="s">
        <v>300</v>
      </c>
      <c r="EP1" s="21" t="s">
        <v>301</v>
      </c>
      <c r="EQ1" s="21" t="s">
        <v>302</v>
      </c>
      <c r="ER1" s="21" t="s">
        <v>303</v>
      </c>
      <c r="ES1" s="21" t="s">
        <v>304</v>
      </c>
      <c r="ET1" s="21" t="s">
        <v>305</v>
      </c>
      <c r="EU1" s="21" t="s">
        <v>306</v>
      </c>
      <c r="EV1" s="21" t="s">
        <v>307</v>
      </c>
      <c r="EW1" s="21" t="s">
        <v>308</v>
      </c>
      <c r="EX1" s="21" t="s">
        <v>309</v>
      </c>
      <c r="EY1" s="21" t="s">
        <v>310</v>
      </c>
      <c r="EZ1" s="21" t="s">
        <v>311</v>
      </c>
      <c r="FA1" s="21" t="s">
        <v>312</v>
      </c>
    </row>
    <row r="2" spans="1:171">
      <c r="A2" t="s">
        <v>12</v>
      </c>
      <c r="B2" t="s">
        <v>14</v>
      </c>
      <c r="C2" t="s">
        <v>313</v>
      </c>
      <c r="D2" t="s">
        <v>314</v>
      </c>
      <c r="E2" t="s">
        <v>315</v>
      </c>
      <c r="F2" t="s">
        <v>316</v>
      </c>
      <c r="G2" t="s">
        <v>317</v>
      </c>
      <c r="H2" t="s">
        <v>318</v>
      </c>
      <c r="I2" s="37"/>
      <c r="J2" s="37">
        <v>44348</v>
      </c>
      <c r="K2" s="37">
        <v>44348</v>
      </c>
      <c r="L2" t="s">
        <v>319</v>
      </c>
      <c r="M2" t="s">
        <v>320</v>
      </c>
      <c r="N2" t="s">
        <v>321</v>
      </c>
      <c r="O2" t="s">
        <v>322</v>
      </c>
      <c r="P2" t="s">
        <v>1</v>
      </c>
      <c r="Q2" t="s">
        <v>323</v>
      </c>
      <c r="R2" t="s">
        <v>324</v>
      </c>
      <c r="S2" t="s">
        <v>325</v>
      </c>
      <c r="T2" t="s">
        <v>326</v>
      </c>
      <c r="U2" s="37">
        <v>46023</v>
      </c>
      <c r="V2" s="38">
        <v>3899</v>
      </c>
      <c r="W2" t="s">
        <v>327</v>
      </c>
      <c r="X2" t="s">
        <v>328</v>
      </c>
      <c r="Y2" t="s">
        <v>329</v>
      </c>
      <c r="Z2" s="38">
        <v>0</v>
      </c>
      <c r="AA2" t="s">
        <v>330</v>
      </c>
      <c r="AB2" t="s">
        <v>330</v>
      </c>
      <c r="AC2" t="s">
        <v>330</v>
      </c>
      <c r="AD2" t="s">
        <v>330</v>
      </c>
      <c r="AE2" t="s">
        <v>330</v>
      </c>
      <c r="AF2" t="s">
        <v>330</v>
      </c>
      <c r="AG2" t="s">
        <v>330</v>
      </c>
      <c r="AH2" t="s">
        <v>330</v>
      </c>
      <c r="AI2" t="s">
        <v>330</v>
      </c>
      <c r="AJ2" t="s">
        <v>330</v>
      </c>
      <c r="AK2" t="s">
        <v>331</v>
      </c>
      <c r="AO2" t="s">
        <v>332</v>
      </c>
      <c r="AP2" t="s">
        <v>333</v>
      </c>
      <c r="AQ2" s="37">
        <v>26015</v>
      </c>
      <c r="AR2" t="s">
        <v>334</v>
      </c>
      <c r="AS2" s="38">
        <v>0</v>
      </c>
      <c r="AT2" t="s">
        <v>335</v>
      </c>
      <c r="AU2" t="s">
        <v>336</v>
      </c>
      <c r="AV2" t="s">
        <v>337</v>
      </c>
      <c r="AW2" t="s">
        <v>338</v>
      </c>
      <c r="AX2" t="s">
        <v>331</v>
      </c>
      <c r="AY2" t="s">
        <v>331</v>
      </c>
      <c r="AZ2" t="s">
        <v>331</v>
      </c>
      <c r="BA2" t="s">
        <v>331</v>
      </c>
      <c r="BB2" t="s">
        <v>331</v>
      </c>
      <c r="BC2" t="s">
        <v>339</v>
      </c>
      <c r="BD2" t="s">
        <v>340</v>
      </c>
      <c r="BE2" t="s">
        <v>341</v>
      </c>
      <c r="BF2" t="s">
        <v>342</v>
      </c>
      <c r="BG2" t="s">
        <v>341</v>
      </c>
      <c r="BH2" t="s">
        <v>342</v>
      </c>
      <c r="BI2" t="s">
        <v>343</v>
      </c>
      <c r="BJ2" t="s">
        <v>344</v>
      </c>
      <c r="BK2" t="s">
        <v>345</v>
      </c>
      <c r="BL2" s="37"/>
      <c r="BM2" t="s">
        <v>161</v>
      </c>
      <c r="BN2" t="s">
        <v>346</v>
      </c>
      <c r="BO2" t="s">
        <v>347</v>
      </c>
      <c r="BP2" t="s">
        <v>5</v>
      </c>
      <c r="BQ2" t="s">
        <v>348</v>
      </c>
      <c r="BR2" t="s">
        <v>339</v>
      </c>
      <c r="BS2" t="s">
        <v>349</v>
      </c>
      <c r="BT2" t="s">
        <v>350</v>
      </c>
      <c r="BU2" t="s">
        <v>351</v>
      </c>
      <c r="BV2" t="s">
        <v>352</v>
      </c>
      <c r="BW2" t="s">
        <v>353</v>
      </c>
      <c r="BX2" t="s">
        <v>354</v>
      </c>
      <c r="BY2" t="s">
        <v>355</v>
      </c>
      <c r="BZ2" t="s">
        <v>356</v>
      </c>
      <c r="CA2" t="s">
        <v>357</v>
      </c>
      <c r="CB2" t="s">
        <v>358</v>
      </c>
      <c r="CC2" t="s">
        <v>357</v>
      </c>
      <c r="CD2" t="s">
        <v>347</v>
      </c>
      <c r="CE2" t="s">
        <v>5</v>
      </c>
      <c r="CF2" t="s">
        <v>12</v>
      </c>
      <c r="CG2" t="s">
        <v>359</v>
      </c>
      <c r="CH2" t="s">
        <v>360</v>
      </c>
      <c r="CI2" t="s">
        <v>360</v>
      </c>
      <c r="CJ2" t="s">
        <v>12</v>
      </c>
      <c r="CK2" t="s">
        <v>13</v>
      </c>
      <c r="CL2" t="s">
        <v>331</v>
      </c>
      <c r="CP2" t="s">
        <v>361</v>
      </c>
      <c r="CQ2" t="s">
        <v>362</v>
      </c>
      <c r="CR2" t="s">
        <v>363</v>
      </c>
      <c r="CS2" t="s">
        <v>364</v>
      </c>
      <c r="CT2" t="s">
        <v>365</v>
      </c>
      <c r="CU2" t="s">
        <v>147</v>
      </c>
      <c r="CV2" t="s">
        <v>366</v>
      </c>
      <c r="CW2" t="s">
        <v>367</v>
      </c>
      <c r="CX2" t="s">
        <v>368</v>
      </c>
      <c r="CY2" t="s">
        <v>369</v>
      </c>
      <c r="CZ2" t="s">
        <v>370</v>
      </c>
      <c r="DA2" t="s">
        <v>371</v>
      </c>
      <c r="DB2" t="s">
        <v>372</v>
      </c>
      <c r="DC2" t="s">
        <v>361</v>
      </c>
      <c r="DD2" t="s">
        <v>362</v>
      </c>
      <c r="DE2" t="s">
        <v>373</v>
      </c>
      <c r="DF2" t="s">
        <v>374</v>
      </c>
      <c r="DH2" t="s">
        <v>375</v>
      </c>
      <c r="DI2" s="37">
        <v>46100</v>
      </c>
      <c r="DN2" s="37"/>
      <c r="DO2" t="s">
        <v>335</v>
      </c>
      <c r="DP2" t="s">
        <v>336</v>
      </c>
      <c r="DQ2" t="s">
        <v>329</v>
      </c>
      <c r="DR2" t="s">
        <v>376</v>
      </c>
      <c r="DS2" t="s">
        <v>377</v>
      </c>
      <c r="DU2" t="s">
        <v>335</v>
      </c>
      <c r="DV2" t="s">
        <v>336</v>
      </c>
      <c r="DW2" t="s">
        <v>336</v>
      </c>
      <c r="DX2" t="s">
        <v>335</v>
      </c>
      <c r="DY2" t="s">
        <v>336</v>
      </c>
      <c r="DZ2" s="38">
        <v>3899</v>
      </c>
      <c r="EA2" s="38">
        <v>16.245833333333334</v>
      </c>
      <c r="EB2" t="s">
        <v>331</v>
      </c>
      <c r="EC2" t="s">
        <v>378</v>
      </c>
      <c r="ED2" t="s">
        <v>379</v>
      </c>
      <c r="EE2" s="38">
        <v>0</v>
      </c>
      <c r="EF2" s="38">
        <v>3899</v>
      </c>
      <c r="EG2" s="38">
        <v>14</v>
      </c>
      <c r="EH2" t="s">
        <v>330</v>
      </c>
      <c r="EL2" t="s">
        <v>331</v>
      </c>
      <c r="EM2" s="38">
        <v>0</v>
      </c>
      <c r="EN2" t="s">
        <v>380</v>
      </c>
      <c r="EO2" t="s">
        <v>381</v>
      </c>
      <c r="EP2" t="s">
        <v>382</v>
      </c>
      <c r="EQ2" t="s">
        <v>349</v>
      </c>
      <c r="ER2" t="s">
        <v>339</v>
      </c>
      <c r="ES2" t="s">
        <v>383</v>
      </c>
      <c r="ET2" t="s">
        <v>384</v>
      </c>
      <c r="EU2" t="s">
        <v>385</v>
      </c>
      <c r="EW2" t="s">
        <v>386</v>
      </c>
      <c r="EX2" t="s">
        <v>331</v>
      </c>
      <c r="FA2" s="38">
        <v>0</v>
      </c>
      <c r="FB2" t="s">
        <v>331</v>
      </c>
      <c r="FD2" t="s">
        <v>331</v>
      </c>
      <c r="FF2" t="s">
        <v>331</v>
      </c>
      <c r="FH2" t="s">
        <v>331</v>
      </c>
      <c r="FJ2" t="s">
        <v>331</v>
      </c>
      <c r="FK2" t="s">
        <v>331</v>
      </c>
      <c r="FL2" t="s">
        <v>330</v>
      </c>
      <c r="FN2" s="37">
        <v>44348</v>
      </c>
      <c r="FO2" t="s">
        <v>574</v>
      </c>
    </row>
    <row r="3" spans="1:171">
      <c r="A3" t="s">
        <v>19</v>
      </c>
      <c r="B3" t="s">
        <v>21</v>
      </c>
      <c r="C3" t="s">
        <v>313</v>
      </c>
      <c r="D3" t="s">
        <v>314</v>
      </c>
      <c r="E3" t="s">
        <v>387</v>
      </c>
      <c r="F3" t="s">
        <v>388</v>
      </c>
      <c r="G3" t="s">
        <v>317</v>
      </c>
      <c r="H3" t="s">
        <v>318</v>
      </c>
      <c r="I3" s="37"/>
      <c r="J3" s="37">
        <v>42257</v>
      </c>
      <c r="K3" s="37">
        <v>42257</v>
      </c>
      <c r="L3" t="s">
        <v>389</v>
      </c>
      <c r="M3" t="s">
        <v>320</v>
      </c>
      <c r="N3" t="s">
        <v>321</v>
      </c>
      <c r="O3" t="s">
        <v>322</v>
      </c>
      <c r="P3" t="s">
        <v>1</v>
      </c>
      <c r="Q3" t="s">
        <v>323</v>
      </c>
      <c r="R3" t="s">
        <v>324</v>
      </c>
      <c r="S3" t="s">
        <v>325</v>
      </c>
      <c r="T3" t="s">
        <v>326</v>
      </c>
      <c r="U3" s="37">
        <v>46023</v>
      </c>
      <c r="V3" s="38">
        <v>3700</v>
      </c>
      <c r="W3" t="s">
        <v>327</v>
      </c>
      <c r="X3" t="s">
        <v>328</v>
      </c>
      <c r="Y3" t="s">
        <v>329</v>
      </c>
      <c r="Z3" s="38">
        <v>0</v>
      </c>
      <c r="AA3" t="s">
        <v>330</v>
      </c>
      <c r="AB3" t="s">
        <v>330</v>
      </c>
      <c r="AC3" t="s">
        <v>330</v>
      </c>
      <c r="AD3" t="s">
        <v>330</v>
      </c>
      <c r="AE3" t="s">
        <v>330</v>
      </c>
      <c r="AF3" t="s">
        <v>330</v>
      </c>
      <c r="AG3" t="s">
        <v>330</v>
      </c>
      <c r="AH3" t="s">
        <v>330</v>
      </c>
      <c r="AI3" t="s">
        <v>330</v>
      </c>
      <c r="AJ3" t="s">
        <v>330</v>
      </c>
      <c r="AK3" t="s">
        <v>331</v>
      </c>
      <c r="AO3" t="s">
        <v>332</v>
      </c>
      <c r="AP3" t="s">
        <v>390</v>
      </c>
      <c r="AQ3" s="37">
        <v>29522</v>
      </c>
      <c r="AR3" t="s">
        <v>334</v>
      </c>
      <c r="AS3" s="38">
        <v>0</v>
      </c>
      <c r="AT3" t="s">
        <v>335</v>
      </c>
      <c r="AU3" t="s">
        <v>336</v>
      </c>
      <c r="AV3" t="s">
        <v>391</v>
      </c>
      <c r="AW3" t="s">
        <v>392</v>
      </c>
      <c r="AX3" t="s">
        <v>393</v>
      </c>
      <c r="AY3" t="s">
        <v>331</v>
      </c>
      <c r="AZ3" t="s">
        <v>331</v>
      </c>
      <c r="BA3" t="s">
        <v>331</v>
      </c>
      <c r="BB3" t="s">
        <v>331</v>
      </c>
      <c r="BC3" t="s">
        <v>339</v>
      </c>
      <c r="BD3" t="s">
        <v>340</v>
      </c>
      <c r="BE3" t="s">
        <v>341</v>
      </c>
      <c r="BF3" t="s">
        <v>342</v>
      </c>
      <c r="BG3" t="s">
        <v>341</v>
      </c>
      <c r="BH3" t="s">
        <v>342</v>
      </c>
      <c r="BI3" t="s">
        <v>394</v>
      </c>
      <c r="BJ3" t="s">
        <v>344</v>
      </c>
      <c r="BK3" t="s">
        <v>345</v>
      </c>
      <c r="BL3" s="37"/>
      <c r="BM3" t="s">
        <v>161</v>
      </c>
      <c r="BN3" t="s">
        <v>346</v>
      </c>
      <c r="BO3" t="s">
        <v>347</v>
      </c>
      <c r="BP3" t="s">
        <v>5</v>
      </c>
      <c r="BQ3" t="s">
        <v>348</v>
      </c>
      <c r="BR3" t="s">
        <v>339</v>
      </c>
      <c r="BS3" t="s">
        <v>349</v>
      </c>
      <c r="BT3" t="s">
        <v>395</v>
      </c>
      <c r="BU3" t="s">
        <v>396</v>
      </c>
      <c r="BV3" t="s">
        <v>397</v>
      </c>
      <c r="BW3" t="s">
        <v>398</v>
      </c>
      <c r="BX3" t="s">
        <v>354</v>
      </c>
      <c r="BY3" t="s">
        <v>355</v>
      </c>
      <c r="BZ3" t="s">
        <v>356</v>
      </c>
      <c r="CA3" t="s">
        <v>357</v>
      </c>
      <c r="CB3" t="s">
        <v>358</v>
      </c>
      <c r="CC3" t="s">
        <v>357</v>
      </c>
      <c r="CD3" t="s">
        <v>347</v>
      </c>
      <c r="CE3" t="s">
        <v>5</v>
      </c>
      <c r="CF3" t="s">
        <v>19</v>
      </c>
      <c r="CG3" t="s">
        <v>399</v>
      </c>
      <c r="CH3" t="s">
        <v>360</v>
      </c>
      <c r="CI3" t="s">
        <v>360</v>
      </c>
      <c r="CJ3" t="s">
        <v>19</v>
      </c>
      <c r="CK3" t="s">
        <v>20</v>
      </c>
      <c r="CL3" t="s">
        <v>331</v>
      </c>
      <c r="CP3" t="s">
        <v>361</v>
      </c>
      <c r="CQ3" t="s">
        <v>362</v>
      </c>
      <c r="CR3" t="s">
        <v>363</v>
      </c>
      <c r="CS3" t="s">
        <v>364</v>
      </c>
      <c r="CT3" t="s">
        <v>365</v>
      </c>
      <c r="CU3" t="s">
        <v>147</v>
      </c>
      <c r="CV3" t="s">
        <v>366</v>
      </c>
      <c r="CW3" t="s">
        <v>367</v>
      </c>
      <c r="CX3" t="s">
        <v>368</v>
      </c>
      <c r="CY3" t="s">
        <v>369</v>
      </c>
      <c r="CZ3" t="s">
        <v>370</v>
      </c>
      <c r="DA3" t="s">
        <v>371</v>
      </c>
      <c r="DB3" t="s">
        <v>372</v>
      </c>
      <c r="DC3" t="s">
        <v>361</v>
      </c>
      <c r="DD3" t="s">
        <v>362</v>
      </c>
      <c r="DE3" t="s">
        <v>373</v>
      </c>
      <c r="DF3" t="s">
        <v>374</v>
      </c>
      <c r="DH3" t="s">
        <v>375</v>
      </c>
      <c r="DI3" s="37">
        <v>46100</v>
      </c>
      <c r="DN3" s="37"/>
      <c r="DO3" t="s">
        <v>335</v>
      </c>
      <c r="DP3" t="s">
        <v>336</v>
      </c>
      <c r="DQ3" t="s">
        <v>329</v>
      </c>
      <c r="DR3" t="s">
        <v>376</v>
      </c>
      <c r="DS3" t="s">
        <v>377</v>
      </c>
      <c r="DU3" t="s">
        <v>335</v>
      </c>
      <c r="DV3" t="s">
        <v>336</v>
      </c>
      <c r="DW3" t="s">
        <v>336</v>
      </c>
      <c r="DX3" t="s">
        <v>335</v>
      </c>
      <c r="DY3" t="s">
        <v>336</v>
      </c>
      <c r="DZ3" s="38">
        <v>3700</v>
      </c>
      <c r="EA3" s="38">
        <v>15.416666666666666</v>
      </c>
      <c r="EB3" t="s">
        <v>331</v>
      </c>
      <c r="EC3" t="s">
        <v>378</v>
      </c>
      <c r="ED3" t="s">
        <v>379</v>
      </c>
      <c r="EE3" s="38">
        <v>0</v>
      </c>
      <c r="EF3" s="38">
        <v>3700</v>
      </c>
      <c r="EG3" s="38">
        <v>14</v>
      </c>
      <c r="EH3" t="s">
        <v>330</v>
      </c>
      <c r="EL3" t="s">
        <v>331</v>
      </c>
      <c r="EM3" s="38">
        <v>0</v>
      </c>
      <c r="EN3" t="s">
        <v>380</v>
      </c>
      <c r="EO3" t="s">
        <v>381</v>
      </c>
      <c r="EP3" t="s">
        <v>382</v>
      </c>
      <c r="EQ3" t="s">
        <v>349</v>
      </c>
      <c r="ER3" t="s">
        <v>339</v>
      </c>
      <c r="ES3" t="s">
        <v>383</v>
      </c>
      <c r="ET3" t="s">
        <v>384</v>
      </c>
      <c r="EU3" t="s">
        <v>385</v>
      </c>
      <c r="EW3" t="s">
        <v>386</v>
      </c>
      <c r="EX3" t="s">
        <v>331</v>
      </c>
      <c r="FA3" s="38">
        <v>0</v>
      </c>
      <c r="FB3" t="s">
        <v>331</v>
      </c>
      <c r="FD3" t="s">
        <v>331</v>
      </c>
      <c r="FF3" t="s">
        <v>331</v>
      </c>
      <c r="FH3" t="s">
        <v>331</v>
      </c>
      <c r="FJ3" t="s">
        <v>331</v>
      </c>
      <c r="FK3" t="s">
        <v>331</v>
      </c>
      <c r="FL3" t="s">
        <v>330</v>
      </c>
      <c r="FN3" s="37">
        <v>42257</v>
      </c>
      <c r="FO3" t="s">
        <v>575</v>
      </c>
    </row>
    <row r="4" spans="1:171">
      <c r="A4" t="s">
        <v>22</v>
      </c>
      <c r="B4" t="s">
        <v>24</v>
      </c>
      <c r="C4" t="s">
        <v>313</v>
      </c>
      <c r="D4" t="s">
        <v>314</v>
      </c>
      <c r="E4" t="s">
        <v>400</v>
      </c>
      <c r="F4" t="s">
        <v>401</v>
      </c>
      <c r="G4" t="s">
        <v>317</v>
      </c>
      <c r="H4" t="s">
        <v>318</v>
      </c>
      <c r="I4" s="37"/>
      <c r="J4" s="37">
        <v>42506</v>
      </c>
      <c r="K4" s="37">
        <v>42506</v>
      </c>
      <c r="L4" t="s">
        <v>389</v>
      </c>
      <c r="M4" t="s">
        <v>320</v>
      </c>
      <c r="N4" t="s">
        <v>321</v>
      </c>
      <c r="O4" t="s">
        <v>322</v>
      </c>
      <c r="P4" t="s">
        <v>1</v>
      </c>
      <c r="Q4" t="s">
        <v>323</v>
      </c>
      <c r="R4" t="s">
        <v>324</v>
      </c>
      <c r="S4" t="s">
        <v>325</v>
      </c>
      <c r="T4" t="s">
        <v>326</v>
      </c>
      <c r="U4" s="37">
        <v>46023</v>
      </c>
      <c r="V4" s="38">
        <v>8842</v>
      </c>
      <c r="W4" t="s">
        <v>327</v>
      </c>
      <c r="X4" t="s">
        <v>328</v>
      </c>
      <c r="Y4" t="s">
        <v>329</v>
      </c>
      <c r="Z4" s="38">
        <v>0</v>
      </c>
      <c r="AA4" t="s">
        <v>330</v>
      </c>
      <c r="AB4" t="s">
        <v>330</v>
      </c>
      <c r="AC4" t="s">
        <v>330</v>
      </c>
      <c r="AD4" t="s">
        <v>330</v>
      </c>
      <c r="AE4" t="s">
        <v>330</v>
      </c>
      <c r="AF4" t="s">
        <v>330</v>
      </c>
      <c r="AG4" t="s">
        <v>330</v>
      </c>
      <c r="AH4" t="s">
        <v>330</v>
      </c>
      <c r="AI4" t="s">
        <v>330</v>
      </c>
      <c r="AJ4" t="s">
        <v>330</v>
      </c>
      <c r="AK4" t="s">
        <v>331</v>
      </c>
      <c r="AO4" t="s">
        <v>402</v>
      </c>
      <c r="AP4" t="s">
        <v>390</v>
      </c>
      <c r="AQ4" s="37">
        <v>32146</v>
      </c>
      <c r="AR4" t="s">
        <v>334</v>
      </c>
      <c r="AS4" s="38">
        <v>0</v>
      </c>
      <c r="AT4" t="s">
        <v>335</v>
      </c>
      <c r="AU4" t="s">
        <v>336</v>
      </c>
      <c r="AV4" t="s">
        <v>403</v>
      </c>
      <c r="AW4" t="s">
        <v>392</v>
      </c>
      <c r="AX4" t="s">
        <v>404</v>
      </c>
      <c r="AY4" t="s">
        <v>331</v>
      </c>
      <c r="AZ4" t="s">
        <v>331</v>
      </c>
      <c r="BA4" t="s">
        <v>331</v>
      </c>
      <c r="BB4" t="s">
        <v>331</v>
      </c>
      <c r="BC4" t="s">
        <v>339</v>
      </c>
      <c r="BD4" t="s">
        <v>340</v>
      </c>
      <c r="BE4" t="s">
        <v>341</v>
      </c>
      <c r="BF4" t="s">
        <v>342</v>
      </c>
      <c r="BG4" t="s">
        <v>341</v>
      </c>
      <c r="BH4" t="s">
        <v>342</v>
      </c>
      <c r="BI4" t="s">
        <v>405</v>
      </c>
      <c r="BJ4" t="s">
        <v>344</v>
      </c>
      <c r="BK4" t="s">
        <v>345</v>
      </c>
      <c r="BL4" s="37"/>
      <c r="BM4" t="s">
        <v>161</v>
      </c>
      <c r="BN4" t="s">
        <v>346</v>
      </c>
      <c r="BO4" t="s">
        <v>347</v>
      </c>
      <c r="BP4" t="s">
        <v>5</v>
      </c>
      <c r="BQ4" t="s">
        <v>348</v>
      </c>
      <c r="BR4" t="s">
        <v>339</v>
      </c>
      <c r="BS4" t="s">
        <v>349</v>
      </c>
      <c r="BT4" t="s">
        <v>406</v>
      </c>
      <c r="BU4" t="s">
        <v>407</v>
      </c>
      <c r="BV4" t="s">
        <v>397</v>
      </c>
      <c r="BW4" t="s">
        <v>398</v>
      </c>
      <c r="BX4" t="s">
        <v>354</v>
      </c>
      <c r="BY4" t="s">
        <v>355</v>
      </c>
      <c r="BZ4" t="s">
        <v>408</v>
      </c>
      <c r="CA4" t="s">
        <v>409</v>
      </c>
      <c r="CB4" t="s">
        <v>410</v>
      </c>
      <c r="CC4" t="s">
        <v>411</v>
      </c>
      <c r="CD4" t="s">
        <v>347</v>
      </c>
      <c r="CE4" t="s">
        <v>5</v>
      </c>
      <c r="CF4" t="s">
        <v>22</v>
      </c>
      <c r="CG4" t="s">
        <v>412</v>
      </c>
      <c r="CH4" t="s">
        <v>360</v>
      </c>
      <c r="CI4" t="s">
        <v>360</v>
      </c>
      <c r="CJ4" t="s">
        <v>22</v>
      </c>
      <c r="CK4" t="s">
        <v>23</v>
      </c>
      <c r="CL4" t="s">
        <v>331</v>
      </c>
      <c r="CP4" t="s">
        <v>361</v>
      </c>
      <c r="CQ4" t="s">
        <v>362</v>
      </c>
      <c r="CR4" t="s">
        <v>363</v>
      </c>
      <c r="CS4" t="s">
        <v>364</v>
      </c>
      <c r="CT4" t="s">
        <v>365</v>
      </c>
      <c r="CU4" t="s">
        <v>147</v>
      </c>
      <c r="CV4" t="s">
        <v>413</v>
      </c>
      <c r="CW4" t="s">
        <v>414</v>
      </c>
      <c r="CX4" t="s">
        <v>368</v>
      </c>
      <c r="CY4" t="s">
        <v>369</v>
      </c>
      <c r="CZ4" t="s">
        <v>370</v>
      </c>
      <c r="DA4" t="s">
        <v>371</v>
      </c>
      <c r="DB4" t="s">
        <v>372</v>
      </c>
      <c r="DC4" t="s">
        <v>361</v>
      </c>
      <c r="DD4" t="s">
        <v>362</v>
      </c>
      <c r="DE4" t="s">
        <v>373</v>
      </c>
      <c r="DF4" t="s">
        <v>374</v>
      </c>
      <c r="DH4" t="s">
        <v>375</v>
      </c>
      <c r="DI4" s="37">
        <v>46100</v>
      </c>
      <c r="DN4" s="37"/>
      <c r="DO4" t="s">
        <v>335</v>
      </c>
      <c r="DP4" t="s">
        <v>336</v>
      </c>
      <c r="DQ4" t="s">
        <v>329</v>
      </c>
      <c r="DR4" t="s">
        <v>376</v>
      </c>
      <c r="DS4" t="s">
        <v>377</v>
      </c>
      <c r="DU4" t="s">
        <v>335</v>
      </c>
      <c r="DV4" t="s">
        <v>336</v>
      </c>
      <c r="DW4" t="s">
        <v>336</v>
      </c>
      <c r="DX4" t="s">
        <v>335</v>
      </c>
      <c r="DY4" t="s">
        <v>336</v>
      </c>
      <c r="DZ4" s="38">
        <v>8842</v>
      </c>
      <c r="EA4" s="38">
        <v>33.966666666666669</v>
      </c>
      <c r="EB4" t="s">
        <v>331</v>
      </c>
      <c r="EC4" t="s">
        <v>378</v>
      </c>
      <c r="ED4" t="s">
        <v>379</v>
      </c>
      <c r="EE4" s="38">
        <v>0</v>
      </c>
      <c r="EF4" s="38">
        <v>8842</v>
      </c>
      <c r="EG4" s="38">
        <v>35</v>
      </c>
      <c r="EH4" t="s">
        <v>330</v>
      </c>
      <c r="EL4" t="s">
        <v>331</v>
      </c>
      <c r="EM4" s="38">
        <v>0</v>
      </c>
      <c r="EN4" t="s">
        <v>380</v>
      </c>
      <c r="EO4" t="s">
        <v>381</v>
      </c>
      <c r="EP4" t="s">
        <v>382</v>
      </c>
      <c r="EQ4" t="s">
        <v>349</v>
      </c>
      <c r="ER4" t="s">
        <v>339</v>
      </c>
      <c r="ES4" t="s">
        <v>383</v>
      </c>
      <c r="ET4" t="s">
        <v>384</v>
      </c>
      <c r="EU4" t="s">
        <v>385</v>
      </c>
      <c r="EW4" t="s">
        <v>386</v>
      </c>
      <c r="EX4" t="s">
        <v>331</v>
      </c>
      <c r="FA4" s="38">
        <v>0</v>
      </c>
      <c r="FB4" t="s">
        <v>331</v>
      </c>
      <c r="FD4" t="s">
        <v>331</v>
      </c>
      <c r="FF4" t="s">
        <v>331</v>
      </c>
      <c r="FH4" t="s">
        <v>331</v>
      </c>
      <c r="FJ4" t="s">
        <v>331</v>
      </c>
      <c r="FK4" t="s">
        <v>331</v>
      </c>
      <c r="FL4" t="s">
        <v>330</v>
      </c>
      <c r="FN4" s="37">
        <v>42506</v>
      </c>
      <c r="FO4" t="s">
        <v>576</v>
      </c>
    </row>
    <row r="5" spans="1:171">
      <c r="A5" t="s">
        <v>29</v>
      </c>
      <c r="B5" t="s">
        <v>31</v>
      </c>
      <c r="C5" t="s">
        <v>313</v>
      </c>
      <c r="D5" t="s">
        <v>314</v>
      </c>
      <c r="E5" t="s">
        <v>415</v>
      </c>
      <c r="F5" t="s">
        <v>416</v>
      </c>
      <c r="G5" t="s">
        <v>317</v>
      </c>
      <c r="H5" t="s">
        <v>318</v>
      </c>
      <c r="I5" s="37"/>
      <c r="J5" s="37">
        <v>42989</v>
      </c>
      <c r="K5" s="37">
        <v>42989</v>
      </c>
      <c r="L5" t="s">
        <v>389</v>
      </c>
      <c r="M5" t="s">
        <v>320</v>
      </c>
      <c r="N5" t="s">
        <v>321</v>
      </c>
      <c r="O5" t="s">
        <v>322</v>
      </c>
      <c r="P5" t="s">
        <v>1</v>
      </c>
      <c r="Q5" t="s">
        <v>323</v>
      </c>
      <c r="R5" t="s">
        <v>324</v>
      </c>
      <c r="S5" t="s">
        <v>325</v>
      </c>
      <c r="T5" t="s">
        <v>326</v>
      </c>
      <c r="U5" s="37">
        <v>46023</v>
      </c>
      <c r="V5" s="38">
        <v>14615</v>
      </c>
      <c r="W5" t="s">
        <v>327</v>
      </c>
      <c r="X5" t="s">
        <v>328</v>
      </c>
      <c r="Y5" t="s">
        <v>329</v>
      </c>
      <c r="Z5" s="38">
        <v>0</v>
      </c>
      <c r="AA5" t="s">
        <v>330</v>
      </c>
      <c r="AB5" t="s">
        <v>330</v>
      </c>
      <c r="AC5" t="s">
        <v>330</v>
      </c>
      <c r="AD5" t="s">
        <v>330</v>
      </c>
      <c r="AE5" t="s">
        <v>330</v>
      </c>
      <c r="AF5" t="s">
        <v>330</v>
      </c>
      <c r="AG5" t="s">
        <v>330</v>
      </c>
      <c r="AH5" t="s">
        <v>330</v>
      </c>
      <c r="AI5" t="s">
        <v>330</v>
      </c>
      <c r="AJ5" t="s">
        <v>330</v>
      </c>
      <c r="AK5" t="s">
        <v>331</v>
      </c>
      <c r="AO5" t="s">
        <v>402</v>
      </c>
      <c r="AP5" t="s">
        <v>390</v>
      </c>
      <c r="AQ5" s="37">
        <v>32245</v>
      </c>
      <c r="AR5" t="s">
        <v>334</v>
      </c>
      <c r="AS5" s="38">
        <v>0</v>
      </c>
      <c r="AT5" t="s">
        <v>335</v>
      </c>
      <c r="AU5" t="s">
        <v>336</v>
      </c>
      <c r="AV5" t="s">
        <v>417</v>
      </c>
      <c r="AW5" t="s">
        <v>392</v>
      </c>
      <c r="AX5" t="s">
        <v>331</v>
      </c>
      <c r="AY5" t="s">
        <v>331</v>
      </c>
      <c r="AZ5" t="s">
        <v>331</v>
      </c>
      <c r="BA5" t="s">
        <v>331</v>
      </c>
      <c r="BB5" t="s">
        <v>331</v>
      </c>
      <c r="BC5" t="s">
        <v>339</v>
      </c>
      <c r="BD5" t="s">
        <v>340</v>
      </c>
      <c r="BE5" t="s">
        <v>341</v>
      </c>
      <c r="BF5" t="s">
        <v>342</v>
      </c>
      <c r="BG5" t="s">
        <v>341</v>
      </c>
      <c r="BH5" t="s">
        <v>342</v>
      </c>
      <c r="BI5" t="s">
        <v>418</v>
      </c>
      <c r="BJ5" t="s">
        <v>344</v>
      </c>
      <c r="BK5" t="s">
        <v>345</v>
      </c>
      <c r="BL5" s="37"/>
      <c r="BM5" t="s">
        <v>161</v>
      </c>
      <c r="BN5" t="s">
        <v>346</v>
      </c>
      <c r="BO5" t="s">
        <v>347</v>
      </c>
      <c r="BP5" t="s">
        <v>5</v>
      </c>
      <c r="BQ5" t="s">
        <v>348</v>
      </c>
      <c r="BR5" t="s">
        <v>339</v>
      </c>
      <c r="BS5" t="s">
        <v>349</v>
      </c>
      <c r="BT5" t="s">
        <v>419</v>
      </c>
      <c r="BU5" t="s">
        <v>420</v>
      </c>
      <c r="BV5" t="s">
        <v>421</v>
      </c>
      <c r="BW5" t="s">
        <v>422</v>
      </c>
      <c r="BX5" t="s">
        <v>423</v>
      </c>
      <c r="BY5" t="s">
        <v>424</v>
      </c>
      <c r="BZ5" t="s">
        <v>425</v>
      </c>
      <c r="CA5" t="s">
        <v>426</v>
      </c>
      <c r="CB5" t="s">
        <v>427</v>
      </c>
      <c r="CC5" t="s">
        <v>426</v>
      </c>
      <c r="CD5" t="s">
        <v>347</v>
      </c>
      <c r="CE5" t="s">
        <v>5</v>
      </c>
      <c r="CF5" t="s">
        <v>29</v>
      </c>
      <c r="CG5" t="s">
        <v>428</v>
      </c>
      <c r="CH5" t="s">
        <v>360</v>
      </c>
      <c r="CI5" t="s">
        <v>360</v>
      </c>
      <c r="CJ5" t="s">
        <v>29</v>
      </c>
      <c r="CK5" t="s">
        <v>30</v>
      </c>
      <c r="CL5" t="s">
        <v>331</v>
      </c>
      <c r="CP5" t="s">
        <v>361</v>
      </c>
      <c r="CQ5" t="s">
        <v>362</v>
      </c>
      <c r="CR5" t="s">
        <v>363</v>
      </c>
      <c r="CS5" t="s">
        <v>364</v>
      </c>
      <c r="CT5" t="s">
        <v>365</v>
      </c>
      <c r="CU5" t="s">
        <v>147</v>
      </c>
      <c r="CV5" t="s">
        <v>413</v>
      </c>
      <c r="CW5" t="s">
        <v>414</v>
      </c>
      <c r="CX5" t="s">
        <v>368</v>
      </c>
      <c r="CY5" t="s">
        <v>369</v>
      </c>
      <c r="CZ5" t="s">
        <v>370</v>
      </c>
      <c r="DA5" t="s">
        <v>371</v>
      </c>
      <c r="DB5" t="s">
        <v>372</v>
      </c>
      <c r="DC5" t="s">
        <v>361</v>
      </c>
      <c r="DD5" t="s">
        <v>362</v>
      </c>
      <c r="DE5" t="s">
        <v>429</v>
      </c>
      <c r="DF5" t="s">
        <v>409</v>
      </c>
      <c r="DH5" t="s">
        <v>375</v>
      </c>
      <c r="DI5" s="37">
        <v>46100</v>
      </c>
      <c r="DN5" s="37"/>
      <c r="DO5" t="s">
        <v>335</v>
      </c>
      <c r="DP5" t="s">
        <v>336</v>
      </c>
      <c r="DQ5" t="s">
        <v>329</v>
      </c>
      <c r="DR5" t="s">
        <v>376</v>
      </c>
      <c r="DS5" t="s">
        <v>377</v>
      </c>
      <c r="DU5" t="s">
        <v>335</v>
      </c>
      <c r="DV5" t="s">
        <v>336</v>
      </c>
      <c r="DW5" t="s">
        <v>336</v>
      </c>
      <c r="DX5" t="s">
        <v>335</v>
      </c>
      <c r="DY5" t="s">
        <v>336</v>
      </c>
      <c r="DZ5" s="38">
        <v>14615</v>
      </c>
      <c r="EA5" s="38">
        <v>60.895833333333336</v>
      </c>
      <c r="EB5" t="s">
        <v>331</v>
      </c>
      <c r="EC5" t="s">
        <v>378</v>
      </c>
      <c r="ED5" t="s">
        <v>379</v>
      </c>
      <c r="EE5" s="38">
        <v>0</v>
      </c>
      <c r="EF5" s="38">
        <v>14615</v>
      </c>
      <c r="EG5" s="38">
        <v>45</v>
      </c>
      <c r="EH5" t="s">
        <v>330</v>
      </c>
      <c r="EL5" t="s">
        <v>331</v>
      </c>
      <c r="EM5" s="38">
        <v>0</v>
      </c>
      <c r="EN5" t="s">
        <v>380</v>
      </c>
      <c r="EO5" t="s">
        <v>381</v>
      </c>
      <c r="EP5" t="s">
        <v>382</v>
      </c>
      <c r="EQ5" t="s">
        <v>349</v>
      </c>
      <c r="ER5" t="s">
        <v>339</v>
      </c>
      <c r="ES5" t="s">
        <v>383</v>
      </c>
      <c r="ET5" t="s">
        <v>384</v>
      </c>
      <c r="EU5" t="s">
        <v>385</v>
      </c>
      <c r="EW5" t="s">
        <v>386</v>
      </c>
      <c r="EX5" t="s">
        <v>331</v>
      </c>
      <c r="FA5" s="38">
        <v>0</v>
      </c>
      <c r="FB5" t="s">
        <v>331</v>
      </c>
      <c r="FD5" t="s">
        <v>331</v>
      </c>
      <c r="FF5" t="s">
        <v>331</v>
      </c>
      <c r="FH5" t="s">
        <v>331</v>
      </c>
      <c r="FJ5" t="s">
        <v>331</v>
      </c>
      <c r="FK5" t="s">
        <v>331</v>
      </c>
      <c r="FL5" t="s">
        <v>330</v>
      </c>
      <c r="FN5" s="37">
        <v>42989</v>
      </c>
      <c r="FO5" t="s">
        <v>577</v>
      </c>
    </row>
    <row r="6" spans="1:171">
      <c r="A6" t="s">
        <v>32</v>
      </c>
      <c r="B6" t="s">
        <v>34</v>
      </c>
      <c r="C6" t="s">
        <v>313</v>
      </c>
      <c r="D6" t="s">
        <v>314</v>
      </c>
      <c r="E6" t="s">
        <v>430</v>
      </c>
      <c r="F6" t="s">
        <v>431</v>
      </c>
      <c r="G6" t="s">
        <v>432</v>
      </c>
      <c r="H6" t="s">
        <v>433</v>
      </c>
      <c r="I6" s="37">
        <v>401768</v>
      </c>
      <c r="J6" s="37">
        <v>42765</v>
      </c>
      <c r="K6" s="37">
        <v>42765</v>
      </c>
      <c r="L6" t="s">
        <v>389</v>
      </c>
      <c r="M6" t="s">
        <v>320</v>
      </c>
      <c r="N6" t="s">
        <v>321</v>
      </c>
      <c r="O6" t="s">
        <v>322</v>
      </c>
      <c r="P6" t="s">
        <v>1</v>
      </c>
      <c r="Q6" t="s">
        <v>323</v>
      </c>
      <c r="R6" t="s">
        <v>324</v>
      </c>
      <c r="S6" t="s">
        <v>325</v>
      </c>
      <c r="T6" t="s">
        <v>326</v>
      </c>
      <c r="U6" s="37">
        <v>46023</v>
      </c>
      <c r="V6" s="38">
        <v>3871</v>
      </c>
      <c r="W6" t="s">
        <v>327</v>
      </c>
      <c r="X6" t="s">
        <v>328</v>
      </c>
      <c r="Y6" t="s">
        <v>329</v>
      </c>
      <c r="Z6" s="38">
        <v>0</v>
      </c>
      <c r="AA6" t="s">
        <v>330</v>
      </c>
      <c r="AB6" t="s">
        <v>330</v>
      </c>
      <c r="AC6" t="s">
        <v>330</v>
      </c>
      <c r="AD6" t="s">
        <v>330</v>
      </c>
      <c r="AE6" t="s">
        <v>330</v>
      </c>
      <c r="AF6" t="s">
        <v>330</v>
      </c>
      <c r="AG6" t="s">
        <v>330</v>
      </c>
      <c r="AH6" t="s">
        <v>330</v>
      </c>
      <c r="AI6" t="s">
        <v>330</v>
      </c>
      <c r="AJ6" t="s">
        <v>330</v>
      </c>
      <c r="AK6" t="s">
        <v>331</v>
      </c>
      <c r="AO6" t="s">
        <v>332</v>
      </c>
      <c r="AP6" t="s">
        <v>390</v>
      </c>
      <c r="AQ6" s="37">
        <v>32891</v>
      </c>
      <c r="AR6" t="s">
        <v>334</v>
      </c>
      <c r="AS6" s="38">
        <v>0</v>
      </c>
      <c r="AT6" t="s">
        <v>335</v>
      </c>
      <c r="AU6" t="s">
        <v>336</v>
      </c>
      <c r="AV6" t="s">
        <v>434</v>
      </c>
      <c r="AW6" t="s">
        <v>392</v>
      </c>
      <c r="AX6" t="s">
        <v>331</v>
      </c>
      <c r="AY6" t="s">
        <v>331</v>
      </c>
      <c r="AZ6" t="s">
        <v>331</v>
      </c>
      <c r="BA6" t="s">
        <v>331</v>
      </c>
      <c r="BB6" t="s">
        <v>331</v>
      </c>
      <c r="BC6" t="s">
        <v>339</v>
      </c>
      <c r="BD6" t="s">
        <v>340</v>
      </c>
      <c r="BE6" t="s">
        <v>341</v>
      </c>
      <c r="BF6" t="s">
        <v>342</v>
      </c>
      <c r="BG6" t="s">
        <v>341</v>
      </c>
      <c r="BH6" t="s">
        <v>342</v>
      </c>
      <c r="BI6" t="s">
        <v>435</v>
      </c>
      <c r="BJ6" t="s">
        <v>344</v>
      </c>
      <c r="BK6" t="s">
        <v>345</v>
      </c>
      <c r="BL6" s="37"/>
      <c r="BM6" t="s">
        <v>161</v>
      </c>
      <c r="BN6" t="s">
        <v>346</v>
      </c>
      <c r="BO6" t="s">
        <v>347</v>
      </c>
      <c r="BP6" t="s">
        <v>5</v>
      </c>
      <c r="BQ6" t="s">
        <v>348</v>
      </c>
      <c r="BR6" t="s">
        <v>339</v>
      </c>
      <c r="BS6" t="s">
        <v>349</v>
      </c>
      <c r="BT6" t="s">
        <v>419</v>
      </c>
      <c r="BU6" t="s">
        <v>420</v>
      </c>
      <c r="BV6" t="s">
        <v>436</v>
      </c>
      <c r="BW6" t="s">
        <v>437</v>
      </c>
      <c r="BX6" t="s">
        <v>354</v>
      </c>
      <c r="BY6" t="s">
        <v>355</v>
      </c>
      <c r="BZ6" t="s">
        <v>356</v>
      </c>
      <c r="CA6" t="s">
        <v>357</v>
      </c>
      <c r="CB6" t="s">
        <v>358</v>
      </c>
      <c r="CC6" t="s">
        <v>357</v>
      </c>
      <c r="CD6" t="s">
        <v>347</v>
      </c>
      <c r="CE6" t="s">
        <v>5</v>
      </c>
      <c r="CF6" t="s">
        <v>32</v>
      </c>
      <c r="CG6" t="s">
        <v>438</v>
      </c>
      <c r="CH6" t="s">
        <v>360</v>
      </c>
      <c r="CI6" t="s">
        <v>360</v>
      </c>
      <c r="CJ6" t="s">
        <v>32</v>
      </c>
      <c r="CK6" t="s">
        <v>33</v>
      </c>
      <c r="CL6" t="s">
        <v>331</v>
      </c>
      <c r="CP6" t="s">
        <v>361</v>
      </c>
      <c r="CQ6" t="s">
        <v>362</v>
      </c>
      <c r="CR6" t="s">
        <v>363</v>
      </c>
      <c r="CS6" t="s">
        <v>364</v>
      </c>
      <c r="CT6" t="s">
        <v>365</v>
      </c>
      <c r="CU6" t="s">
        <v>147</v>
      </c>
      <c r="CV6" t="s">
        <v>439</v>
      </c>
      <c r="CW6" t="s">
        <v>440</v>
      </c>
      <c r="CX6" t="s">
        <v>368</v>
      </c>
      <c r="CY6" t="s">
        <v>369</v>
      </c>
      <c r="CZ6" t="s">
        <v>370</v>
      </c>
      <c r="DA6" t="s">
        <v>371</v>
      </c>
      <c r="DB6" t="s">
        <v>372</v>
      </c>
      <c r="DC6" t="s">
        <v>361</v>
      </c>
      <c r="DD6" t="s">
        <v>362</v>
      </c>
      <c r="DE6" t="s">
        <v>373</v>
      </c>
      <c r="DF6" t="s">
        <v>374</v>
      </c>
      <c r="DH6" t="s">
        <v>375</v>
      </c>
      <c r="DI6" s="37">
        <v>46100</v>
      </c>
      <c r="DN6" s="37"/>
      <c r="DO6" t="s">
        <v>335</v>
      </c>
      <c r="DP6" t="s">
        <v>336</v>
      </c>
      <c r="DQ6" t="s">
        <v>329</v>
      </c>
      <c r="DR6" t="s">
        <v>376</v>
      </c>
      <c r="DS6" t="s">
        <v>377</v>
      </c>
      <c r="DU6" t="s">
        <v>335</v>
      </c>
      <c r="DV6" t="s">
        <v>336</v>
      </c>
      <c r="DW6" t="s">
        <v>336</v>
      </c>
      <c r="DX6" t="s">
        <v>335</v>
      </c>
      <c r="DY6" t="s">
        <v>336</v>
      </c>
      <c r="DZ6" s="38">
        <v>3871</v>
      </c>
      <c r="EA6" s="38">
        <v>16.129166666666666</v>
      </c>
      <c r="EB6" t="s">
        <v>331</v>
      </c>
      <c r="EC6" t="s">
        <v>378</v>
      </c>
      <c r="ED6" t="s">
        <v>379</v>
      </c>
      <c r="EE6" s="38">
        <v>0</v>
      </c>
      <c r="EF6" s="38">
        <v>3871</v>
      </c>
      <c r="EG6" s="38">
        <v>31</v>
      </c>
      <c r="EH6" t="s">
        <v>330</v>
      </c>
      <c r="EL6" t="s">
        <v>331</v>
      </c>
      <c r="EM6" s="38">
        <v>0</v>
      </c>
      <c r="EN6" t="s">
        <v>380</v>
      </c>
      <c r="EO6" t="s">
        <v>381</v>
      </c>
      <c r="EP6" t="s">
        <v>382</v>
      </c>
      <c r="EQ6" t="s">
        <v>349</v>
      </c>
      <c r="ER6" t="s">
        <v>339</v>
      </c>
      <c r="ES6" t="s">
        <v>383</v>
      </c>
      <c r="ET6" t="s">
        <v>384</v>
      </c>
      <c r="EU6" t="s">
        <v>385</v>
      </c>
      <c r="EW6" t="s">
        <v>386</v>
      </c>
      <c r="EX6" t="s">
        <v>331</v>
      </c>
      <c r="FA6" s="38">
        <v>0</v>
      </c>
      <c r="FB6" t="s">
        <v>331</v>
      </c>
      <c r="FD6" t="s">
        <v>331</v>
      </c>
      <c r="FF6" t="s">
        <v>331</v>
      </c>
      <c r="FH6" t="s">
        <v>331</v>
      </c>
      <c r="FJ6" t="s">
        <v>331</v>
      </c>
      <c r="FK6" t="s">
        <v>331</v>
      </c>
      <c r="FL6" t="s">
        <v>330</v>
      </c>
      <c r="FN6" s="37">
        <v>42765</v>
      </c>
      <c r="FO6" t="s">
        <v>578</v>
      </c>
    </row>
    <row r="7" spans="1:171">
      <c r="A7" t="s">
        <v>40</v>
      </c>
      <c r="B7" t="s">
        <v>42</v>
      </c>
      <c r="C7" t="s">
        <v>313</v>
      </c>
      <c r="D7" t="s">
        <v>314</v>
      </c>
      <c r="E7" t="s">
        <v>441</v>
      </c>
      <c r="F7" t="s">
        <v>442</v>
      </c>
      <c r="G7" t="s">
        <v>317</v>
      </c>
      <c r="H7" t="s">
        <v>318</v>
      </c>
      <c r="I7" s="37"/>
      <c r="J7" s="37">
        <v>44151</v>
      </c>
      <c r="K7" s="37">
        <v>44151</v>
      </c>
      <c r="L7" t="s">
        <v>389</v>
      </c>
      <c r="M7" t="s">
        <v>320</v>
      </c>
      <c r="N7" t="s">
        <v>321</v>
      </c>
      <c r="O7" t="s">
        <v>322</v>
      </c>
      <c r="P7" t="s">
        <v>1</v>
      </c>
      <c r="Q7" t="s">
        <v>323</v>
      </c>
      <c r="R7" t="s">
        <v>324</v>
      </c>
      <c r="S7" t="s">
        <v>325</v>
      </c>
      <c r="T7" t="s">
        <v>326</v>
      </c>
      <c r="U7" s="37">
        <v>46023</v>
      </c>
      <c r="V7" s="38">
        <v>5733</v>
      </c>
      <c r="W7" t="s">
        <v>327</v>
      </c>
      <c r="X7" t="s">
        <v>328</v>
      </c>
      <c r="Y7" t="s">
        <v>329</v>
      </c>
      <c r="Z7" s="38">
        <v>0</v>
      </c>
      <c r="AA7" t="s">
        <v>330</v>
      </c>
      <c r="AB7" t="s">
        <v>330</v>
      </c>
      <c r="AC7" t="s">
        <v>330</v>
      </c>
      <c r="AD7" t="s">
        <v>330</v>
      </c>
      <c r="AE7" t="s">
        <v>330</v>
      </c>
      <c r="AF7" t="s">
        <v>330</v>
      </c>
      <c r="AG7" t="s">
        <v>330</v>
      </c>
      <c r="AH7" t="s">
        <v>330</v>
      </c>
      <c r="AI7" t="s">
        <v>330</v>
      </c>
      <c r="AJ7" t="s">
        <v>330</v>
      </c>
      <c r="AK7" t="s">
        <v>331</v>
      </c>
      <c r="AO7" t="s">
        <v>402</v>
      </c>
      <c r="AP7" t="s">
        <v>390</v>
      </c>
      <c r="AQ7" s="37">
        <v>33233</v>
      </c>
      <c r="AR7" t="s">
        <v>334</v>
      </c>
      <c r="AS7" s="38">
        <v>0</v>
      </c>
      <c r="AT7" t="s">
        <v>335</v>
      </c>
      <c r="AU7" t="s">
        <v>336</v>
      </c>
      <c r="AV7" t="s">
        <v>443</v>
      </c>
      <c r="AW7" t="s">
        <v>392</v>
      </c>
      <c r="AX7" t="s">
        <v>444</v>
      </c>
      <c r="AY7" t="s">
        <v>331</v>
      </c>
      <c r="AZ7" t="s">
        <v>331</v>
      </c>
      <c r="BA7" t="s">
        <v>331</v>
      </c>
      <c r="BB7" t="s">
        <v>331</v>
      </c>
      <c r="BC7" t="s">
        <v>339</v>
      </c>
      <c r="BD7" t="s">
        <v>340</v>
      </c>
      <c r="BE7" t="s">
        <v>539</v>
      </c>
      <c r="BF7" t="s">
        <v>540</v>
      </c>
      <c r="BG7" t="s">
        <v>539</v>
      </c>
      <c r="BH7" t="s">
        <v>540</v>
      </c>
      <c r="BI7" t="s">
        <v>579</v>
      </c>
      <c r="BJ7" t="s">
        <v>344</v>
      </c>
      <c r="BK7" t="s">
        <v>345</v>
      </c>
      <c r="BL7" s="37"/>
      <c r="BM7" t="s">
        <v>161</v>
      </c>
      <c r="BN7" t="s">
        <v>346</v>
      </c>
      <c r="BO7" t="s">
        <v>347</v>
      </c>
      <c r="BP7" t="s">
        <v>5</v>
      </c>
      <c r="BQ7" t="s">
        <v>348</v>
      </c>
      <c r="BR7" t="s">
        <v>339</v>
      </c>
      <c r="BS7" t="s">
        <v>349</v>
      </c>
      <c r="BT7" t="s">
        <v>419</v>
      </c>
      <c r="BU7" t="s">
        <v>420</v>
      </c>
      <c r="BV7" t="s">
        <v>352</v>
      </c>
      <c r="BW7" t="s">
        <v>353</v>
      </c>
      <c r="BX7" t="s">
        <v>447</v>
      </c>
      <c r="BY7" t="s">
        <v>448</v>
      </c>
      <c r="BZ7" t="s">
        <v>427</v>
      </c>
      <c r="CA7" t="s">
        <v>449</v>
      </c>
      <c r="CB7" t="s">
        <v>450</v>
      </c>
      <c r="CC7" t="s">
        <v>451</v>
      </c>
      <c r="CD7" t="s">
        <v>347</v>
      </c>
      <c r="CE7" t="s">
        <v>5</v>
      </c>
      <c r="CF7" t="s">
        <v>40</v>
      </c>
      <c r="CG7" t="s">
        <v>452</v>
      </c>
      <c r="CH7" t="s">
        <v>360</v>
      </c>
      <c r="CI7" t="s">
        <v>360</v>
      </c>
      <c r="CJ7" t="s">
        <v>40</v>
      </c>
      <c r="CK7" t="s">
        <v>41</v>
      </c>
      <c r="CL7" t="s">
        <v>331</v>
      </c>
      <c r="CP7" t="s">
        <v>361</v>
      </c>
      <c r="CQ7" t="s">
        <v>362</v>
      </c>
      <c r="CR7" t="s">
        <v>363</v>
      </c>
      <c r="CS7" t="s">
        <v>364</v>
      </c>
      <c r="CT7" t="s">
        <v>365</v>
      </c>
      <c r="CU7" t="s">
        <v>147</v>
      </c>
      <c r="CV7" t="s">
        <v>366</v>
      </c>
      <c r="CW7" t="s">
        <v>367</v>
      </c>
      <c r="CX7" t="s">
        <v>368</v>
      </c>
      <c r="CY7" t="s">
        <v>369</v>
      </c>
      <c r="CZ7" t="s">
        <v>370</v>
      </c>
      <c r="DA7" t="s">
        <v>371</v>
      </c>
      <c r="DB7" t="s">
        <v>372</v>
      </c>
      <c r="DC7" t="s">
        <v>361</v>
      </c>
      <c r="DD7" t="s">
        <v>362</v>
      </c>
      <c r="DE7" t="s">
        <v>453</v>
      </c>
      <c r="DF7" t="s">
        <v>454</v>
      </c>
      <c r="DH7" t="s">
        <v>375</v>
      </c>
      <c r="DI7" s="37">
        <v>46101</v>
      </c>
      <c r="DN7" s="37"/>
      <c r="DO7" t="s">
        <v>335</v>
      </c>
      <c r="DP7" t="s">
        <v>336</v>
      </c>
      <c r="DQ7" t="s">
        <v>329</v>
      </c>
      <c r="DR7" t="s">
        <v>376</v>
      </c>
      <c r="DS7" t="s">
        <v>377</v>
      </c>
      <c r="DU7" t="s">
        <v>335</v>
      </c>
      <c r="DV7" t="s">
        <v>336</v>
      </c>
      <c r="DW7" t="s">
        <v>336</v>
      </c>
      <c r="DX7" t="s">
        <v>335</v>
      </c>
      <c r="DY7" t="s">
        <v>336</v>
      </c>
      <c r="DZ7" s="38">
        <v>5733</v>
      </c>
      <c r="EA7" s="38">
        <v>23.887499999999999</v>
      </c>
      <c r="EB7" t="s">
        <v>331</v>
      </c>
      <c r="EC7" t="s">
        <v>378</v>
      </c>
      <c r="ED7" t="s">
        <v>379</v>
      </c>
      <c r="EE7" s="38">
        <v>0</v>
      </c>
      <c r="EF7" s="38">
        <v>5733</v>
      </c>
      <c r="EG7" s="38">
        <v>34</v>
      </c>
      <c r="EH7" t="s">
        <v>330</v>
      </c>
      <c r="EL7" t="s">
        <v>331</v>
      </c>
      <c r="EM7" s="38">
        <v>0</v>
      </c>
      <c r="EN7" t="s">
        <v>380</v>
      </c>
      <c r="EO7" t="s">
        <v>381</v>
      </c>
      <c r="EP7" t="s">
        <v>382</v>
      </c>
      <c r="EQ7" t="s">
        <v>349</v>
      </c>
      <c r="ER7" t="s">
        <v>339</v>
      </c>
      <c r="ES7" t="s">
        <v>383</v>
      </c>
      <c r="ET7" t="s">
        <v>384</v>
      </c>
      <c r="EU7" t="s">
        <v>385</v>
      </c>
      <c r="EW7" t="s">
        <v>386</v>
      </c>
      <c r="EX7" t="s">
        <v>331</v>
      </c>
      <c r="FA7" s="38">
        <v>0</v>
      </c>
      <c r="FB7" t="s">
        <v>331</v>
      </c>
      <c r="FD7" t="s">
        <v>331</v>
      </c>
      <c r="FF7" t="s">
        <v>331</v>
      </c>
      <c r="FH7" t="s">
        <v>331</v>
      </c>
      <c r="FJ7" t="s">
        <v>331</v>
      </c>
      <c r="FK7" t="s">
        <v>331</v>
      </c>
      <c r="FL7" t="s">
        <v>330</v>
      </c>
      <c r="FN7" s="37">
        <v>44151</v>
      </c>
      <c r="FO7" t="s">
        <v>580</v>
      </c>
    </row>
    <row r="8" spans="1:171">
      <c r="A8" t="s">
        <v>44</v>
      </c>
      <c r="B8" t="s">
        <v>46</v>
      </c>
      <c r="C8" t="s">
        <v>313</v>
      </c>
      <c r="D8" t="s">
        <v>314</v>
      </c>
      <c r="E8" t="s">
        <v>455</v>
      </c>
      <c r="F8" t="s">
        <v>456</v>
      </c>
      <c r="G8" t="s">
        <v>317</v>
      </c>
      <c r="H8" t="s">
        <v>318</v>
      </c>
      <c r="I8" s="37"/>
      <c r="J8" s="37">
        <v>42632</v>
      </c>
      <c r="K8" s="37">
        <v>42632</v>
      </c>
      <c r="L8" t="s">
        <v>389</v>
      </c>
      <c r="M8" t="s">
        <v>320</v>
      </c>
      <c r="N8" t="s">
        <v>321</v>
      </c>
      <c r="O8" t="s">
        <v>322</v>
      </c>
      <c r="P8" t="s">
        <v>1</v>
      </c>
      <c r="Q8" t="s">
        <v>323</v>
      </c>
      <c r="R8" t="s">
        <v>324</v>
      </c>
      <c r="S8" t="s">
        <v>325</v>
      </c>
      <c r="T8" t="s">
        <v>326</v>
      </c>
      <c r="U8" s="37">
        <v>46023</v>
      </c>
      <c r="V8" s="38">
        <v>6552</v>
      </c>
      <c r="W8" t="s">
        <v>327</v>
      </c>
      <c r="X8" t="s">
        <v>328</v>
      </c>
      <c r="Y8" t="s">
        <v>329</v>
      </c>
      <c r="Z8" s="38">
        <v>0</v>
      </c>
      <c r="AA8" t="s">
        <v>330</v>
      </c>
      <c r="AB8" t="s">
        <v>330</v>
      </c>
      <c r="AC8" t="s">
        <v>330</v>
      </c>
      <c r="AD8" t="s">
        <v>330</v>
      </c>
      <c r="AE8" t="s">
        <v>330</v>
      </c>
      <c r="AF8" t="s">
        <v>330</v>
      </c>
      <c r="AG8" t="s">
        <v>330</v>
      </c>
      <c r="AH8" t="s">
        <v>330</v>
      </c>
      <c r="AI8" t="s">
        <v>330</v>
      </c>
      <c r="AJ8" t="s">
        <v>330</v>
      </c>
      <c r="AK8" t="s">
        <v>331</v>
      </c>
      <c r="AO8" t="s">
        <v>332</v>
      </c>
      <c r="AP8" t="s">
        <v>390</v>
      </c>
      <c r="AQ8" s="37">
        <v>34166</v>
      </c>
      <c r="AR8" t="s">
        <v>334</v>
      </c>
      <c r="AS8" s="38">
        <v>0</v>
      </c>
      <c r="AT8" t="s">
        <v>335</v>
      </c>
      <c r="AU8" t="s">
        <v>336</v>
      </c>
      <c r="AV8" t="s">
        <v>457</v>
      </c>
      <c r="AW8" t="s">
        <v>458</v>
      </c>
      <c r="AX8" t="s">
        <v>459</v>
      </c>
      <c r="AY8" t="s">
        <v>331</v>
      </c>
      <c r="AZ8" t="s">
        <v>331</v>
      </c>
      <c r="BA8" t="s">
        <v>331</v>
      </c>
      <c r="BB8" t="s">
        <v>331</v>
      </c>
      <c r="BC8" t="s">
        <v>339</v>
      </c>
      <c r="BD8" t="s">
        <v>340</v>
      </c>
      <c r="BE8" t="s">
        <v>341</v>
      </c>
      <c r="BF8" t="s">
        <v>342</v>
      </c>
      <c r="BG8" t="s">
        <v>341</v>
      </c>
      <c r="BH8" t="s">
        <v>342</v>
      </c>
      <c r="BI8" t="s">
        <v>460</v>
      </c>
      <c r="BJ8" t="s">
        <v>344</v>
      </c>
      <c r="BK8" t="s">
        <v>345</v>
      </c>
      <c r="BL8" s="37"/>
      <c r="BM8" t="s">
        <v>161</v>
      </c>
      <c r="BN8" t="s">
        <v>346</v>
      </c>
      <c r="BO8" t="s">
        <v>347</v>
      </c>
      <c r="BP8" t="s">
        <v>5</v>
      </c>
      <c r="BQ8" t="s">
        <v>348</v>
      </c>
      <c r="BR8" t="s">
        <v>339</v>
      </c>
      <c r="BS8" t="s">
        <v>349</v>
      </c>
      <c r="BT8" t="s">
        <v>419</v>
      </c>
      <c r="BU8" t="s">
        <v>420</v>
      </c>
      <c r="BV8" t="s">
        <v>352</v>
      </c>
      <c r="BW8" t="s">
        <v>353</v>
      </c>
      <c r="BX8" t="s">
        <v>461</v>
      </c>
      <c r="BY8" t="s">
        <v>462</v>
      </c>
      <c r="BZ8" t="s">
        <v>463</v>
      </c>
      <c r="CA8" t="s">
        <v>374</v>
      </c>
      <c r="CB8" t="s">
        <v>464</v>
      </c>
      <c r="CC8" t="s">
        <v>374</v>
      </c>
      <c r="CD8" t="s">
        <v>347</v>
      </c>
      <c r="CE8" t="s">
        <v>5</v>
      </c>
      <c r="CF8" t="s">
        <v>44</v>
      </c>
      <c r="CG8" t="s">
        <v>465</v>
      </c>
      <c r="CH8" t="s">
        <v>360</v>
      </c>
      <c r="CI8" t="s">
        <v>360</v>
      </c>
      <c r="CJ8" t="s">
        <v>44</v>
      </c>
      <c r="CK8" t="s">
        <v>45</v>
      </c>
      <c r="CL8" t="s">
        <v>331</v>
      </c>
      <c r="CP8" t="s">
        <v>361</v>
      </c>
      <c r="CQ8" t="s">
        <v>362</v>
      </c>
      <c r="CR8" t="s">
        <v>363</v>
      </c>
      <c r="CS8" t="s">
        <v>364</v>
      </c>
      <c r="CT8" t="s">
        <v>365</v>
      </c>
      <c r="CU8" t="s">
        <v>147</v>
      </c>
      <c r="CV8" t="s">
        <v>439</v>
      </c>
      <c r="CW8" t="s">
        <v>440</v>
      </c>
      <c r="CX8" t="s">
        <v>368</v>
      </c>
      <c r="CY8" t="s">
        <v>369</v>
      </c>
      <c r="CZ8" t="s">
        <v>370</v>
      </c>
      <c r="DA8" t="s">
        <v>371</v>
      </c>
      <c r="DB8" t="s">
        <v>372</v>
      </c>
      <c r="DC8" t="s">
        <v>361</v>
      </c>
      <c r="DD8" t="s">
        <v>362</v>
      </c>
      <c r="DE8" t="s">
        <v>373</v>
      </c>
      <c r="DF8" t="s">
        <v>374</v>
      </c>
      <c r="DH8" t="s">
        <v>375</v>
      </c>
      <c r="DI8" s="37">
        <v>46100</v>
      </c>
      <c r="DN8" s="37"/>
      <c r="DO8" t="s">
        <v>335</v>
      </c>
      <c r="DP8" t="s">
        <v>336</v>
      </c>
      <c r="DQ8" t="s">
        <v>329</v>
      </c>
      <c r="DR8" t="s">
        <v>376</v>
      </c>
      <c r="DS8" t="s">
        <v>377</v>
      </c>
      <c r="DU8" t="s">
        <v>335</v>
      </c>
      <c r="DV8" t="s">
        <v>336</v>
      </c>
      <c r="DW8" t="s">
        <v>336</v>
      </c>
      <c r="DX8" t="s">
        <v>335</v>
      </c>
      <c r="DY8" t="s">
        <v>336</v>
      </c>
      <c r="DZ8" s="38">
        <v>6552</v>
      </c>
      <c r="EA8" s="38">
        <v>27.3</v>
      </c>
      <c r="EB8" t="s">
        <v>331</v>
      </c>
      <c r="EC8" t="s">
        <v>378</v>
      </c>
      <c r="ED8" t="s">
        <v>379</v>
      </c>
      <c r="EE8" s="38">
        <v>0</v>
      </c>
      <c r="EF8" s="38">
        <v>6552</v>
      </c>
      <c r="EG8" s="38">
        <v>18</v>
      </c>
      <c r="EH8" t="s">
        <v>330</v>
      </c>
      <c r="EL8" t="s">
        <v>331</v>
      </c>
      <c r="EM8" s="38">
        <v>0</v>
      </c>
      <c r="EN8" t="s">
        <v>380</v>
      </c>
      <c r="EO8" t="s">
        <v>381</v>
      </c>
      <c r="EP8" t="s">
        <v>382</v>
      </c>
      <c r="EQ8" t="s">
        <v>349</v>
      </c>
      <c r="ER8" t="s">
        <v>339</v>
      </c>
      <c r="ES8" t="s">
        <v>383</v>
      </c>
      <c r="ET8" t="s">
        <v>384</v>
      </c>
      <c r="EU8" t="s">
        <v>385</v>
      </c>
      <c r="EW8" t="s">
        <v>386</v>
      </c>
      <c r="EX8" t="s">
        <v>331</v>
      </c>
      <c r="FA8" s="38">
        <v>0</v>
      </c>
      <c r="FB8" t="s">
        <v>331</v>
      </c>
      <c r="FD8" t="s">
        <v>331</v>
      </c>
      <c r="FF8" t="s">
        <v>331</v>
      </c>
      <c r="FH8" t="s">
        <v>331</v>
      </c>
      <c r="FJ8" t="s">
        <v>331</v>
      </c>
      <c r="FK8" t="s">
        <v>331</v>
      </c>
      <c r="FL8" t="s">
        <v>330</v>
      </c>
      <c r="FN8" s="37">
        <v>42632</v>
      </c>
      <c r="FO8" t="s">
        <v>581</v>
      </c>
    </row>
    <row r="9" spans="1:171">
      <c r="A9" t="s">
        <v>47</v>
      </c>
      <c r="B9" t="s">
        <v>49</v>
      </c>
      <c r="C9" t="s">
        <v>313</v>
      </c>
      <c r="D9" t="s">
        <v>314</v>
      </c>
      <c r="E9" t="s">
        <v>466</v>
      </c>
      <c r="F9" t="s">
        <v>467</v>
      </c>
      <c r="G9" t="s">
        <v>317</v>
      </c>
      <c r="H9" t="s">
        <v>318</v>
      </c>
      <c r="I9" s="37"/>
      <c r="J9" s="37">
        <v>44623</v>
      </c>
      <c r="K9" s="37">
        <v>44623</v>
      </c>
      <c r="L9" t="s">
        <v>389</v>
      </c>
      <c r="M9" t="s">
        <v>320</v>
      </c>
      <c r="N9" t="s">
        <v>321</v>
      </c>
      <c r="O9" t="s">
        <v>322</v>
      </c>
      <c r="P9" t="s">
        <v>1</v>
      </c>
      <c r="Q9" t="s">
        <v>323</v>
      </c>
      <c r="R9" t="s">
        <v>324</v>
      </c>
      <c r="S9" t="s">
        <v>325</v>
      </c>
      <c r="T9" t="s">
        <v>326</v>
      </c>
      <c r="U9" s="37">
        <v>46023</v>
      </c>
      <c r="V9" s="38">
        <v>4099</v>
      </c>
      <c r="W9" t="s">
        <v>327</v>
      </c>
      <c r="X9" t="s">
        <v>328</v>
      </c>
      <c r="Y9" t="s">
        <v>329</v>
      </c>
      <c r="Z9" s="38">
        <v>0</v>
      </c>
      <c r="AA9" t="s">
        <v>330</v>
      </c>
      <c r="AB9" t="s">
        <v>330</v>
      </c>
      <c r="AC9" t="s">
        <v>330</v>
      </c>
      <c r="AD9" t="s">
        <v>330</v>
      </c>
      <c r="AE9" t="s">
        <v>330</v>
      </c>
      <c r="AF9" t="s">
        <v>330</v>
      </c>
      <c r="AG9" t="s">
        <v>330</v>
      </c>
      <c r="AH9" t="s">
        <v>330</v>
      </c>
      <c r="AI9" t="s">
        <v>330</v>
      </c>
      <c r="AJ9" t="s">
        <v>330</v>
      </c>
      <c r="AK9" t="s">
        <v>331</v>
      </c>
      <c r="AO9" t="s">
        <v>402</v>
      </c>
      <c r="AP9" t="s">
        <v>390</v>
      </c>
      <c r="AQ9" s="37">
        <v>34064</v>
      </c>
      <c r="AR9" t="s">
        <v>334</v>
      </c>
      <c r="AS9" s="38">
        <v>0</v>
      </c>
      <c r="AT9" t="s">
        <v>335</v>
      </c>
      <c r="AU9" t="s">
        <v>336</v>
      </c>
      <c r="AV9" t="s">
        <v>468</v>
      </c>
      <c r="AW9" t="s">
        <v>469</v>
      </c>
      <c r="AX9" t="s">
        <v>331</v>
      </c>
      <c r="AY9" t="s">
        <v>331</v>
      </c>
      <c r="AZ9" t="s">
        <v>331</v>
      </c>
      <c r="BA9" t="s">
        <v>331</v>
      </c>
      <c r="BB9" t="s">
        <v>331</v>
      </c>
      <c r="BC9" t="s">
        <v>339</v>
      </c>
      <c r="BD9" t="s">
        <v>340</v>
      </c>
      <c r="BE9" t="s">
        <v>445</v>
      </c>
      <c r="BF9" t="s">
        <v>446</v>
      </c>
      <c r="BG9" t="s">
        <v>445</v>
      </c>
      <c r="BH9" t="s">
        <v>446</v>
      </c>
      <c r="BI9" t="s">
        <v>470</v>
      </c>
      <c r="BJ9" t="s">
        <v>344</v>
      </c>
      <c r="BK9" t="s">
        <v>345</v>
      </c>
      <c r="BL9" s="37"/>
      <c r="BM9" t="s">
        <v>161</v>
      </c>
      <c r="BN9" t="s">
        <v>346</v>
      </c>
      <c r="BO9" t="s">
        <v>347</v>
      </c>
      <c r="BP9" t="s">
        <v>5</v>
      </c>
      <c r="BQ9" t="s">
        <v>348</v>
      </c>
      <c r="BR9" t="s">
        <v>339</v>
      </c>
      <c r="BS9" t="s">
        <v>349</v>
      </c>
      <c r="BT9" t="s">
        <v>419</v>
      </c>
      <c r="BU9" t="s">
        <v>420</v>
      </c>
      <c r="BV9" t="s">
        <v>471</v>
      </c>
      <c r="BW9" t="s">
        <v>472</v>
      </c>
      <c r="BX9" t="s">
        <v>473</v>
      </c>
      <c r="BY9" t="s">
        <v>474</v>
      </c>
      <c r="BZ9" t="s">
        <v>408</v>
      </c>
      <c r="CA9" t="s">
        <v>409</v>
      </c>
      <c r="CB9" t="s">
        <v>410</v>
      </c>
      <c r="CC9" t="s">
        <v>411</v>
      </c>
      <c r="CD9" t="s">
        <v>347</v>
      </c>
      <c r="CE9" t="s">
        <v>5</v>
      </c>
      <c r="CF9" t="s">
        <v>47</v>
      </c>
      <c r="CG9" t="s">
        <v>475</v>
      </c>
      <c r="CH9" t="s">
        <v>476</v>
      </c>
      <c r="CI9" t="s">
        <v>476</v>
      </c>
      <c r="CJ9" t="s">
        <v>47</v>
      </c>
      <c r="CK9" t="s">
        <v>48</v>
      </c>
      <c r="CL9" t="s">
        <v>331</v>
      </c>
      <c r="CP9" t="s">
        <v>361</v>
      </c>
      <c r="CQ9" t="s">
        <v>362</v>
      </c>
      <c r="CR9" t="s">
        <v>363</v>
      </c>
      <c r="CS9" t="s">
        <v>364</v>
      </c>
      <c r="CT9" t="s">
        <v>365</v>
      </c>
      <c r="CU9" t="s">
        <v>147</v>
      </c>
      <c r="CV9" t="s">
        <v>439</v>
      </c>
      <c r="CW9" t="s">
        <v>440</v>
      </c>
      <c r="CX9" t="s">
        <v>368</v>
      </c>
      <c r="CY9" t="s">
        <v>369</v>
      </c>
      <c r="CZ9" t="s">
        <v>370</v>
      </c>
      <c r="DA9" t="s">
        <v>371</v>
      </c>
      <c r="DB9" t="s">
        <v>372</v>
      </c>
      <c r="DC9" t="s">
        <v>361</v>
      </c>
      <c r="DD9" t="s">
        <v>362</v>
      </c>
      <c r="DE9" t="s">
        <v>477</v>
      </c>
      <c r="DF9" t="s">
        <v>478</v>
      </c>
      <c r="DH9" t="s">
        <v>375</v>
      </c>
      <c r="DI9" s="37">
        <v>46100</v>
      </c>
      <c r="DN9" s="37"/>
      <c r="DO9" t="s">
        <v>335</v>
      </c>
      <c r="DP9" t="s">
        <v>336</v>
      </c>
      <c r="DQ9" t="s">
        <v>329</v>
      </c>
      <c r="DR9" t="s">
        <v>376</v>
      </c>
      <c r="DS9" t="s">
        <v>377</v>
      </c>
      <c r="DU9" t="s">
        <v>335</v>
      </c>
      <c r="DV9" t="s">
        <v>336</v>
      </c>
      <c r="DW9" t="s">
        <v>336</v>
      </c>
      <c r="DX9" t="s">
        <v>335</v>
      </c>
      <c r="DY9" t="s">
        <v>336</v>
      </c>
      <c r="DZ9" s="38">
        <v>4099</v>
      </c>
      <c r="EA9" s="38">
        <v>17.079166666666666</v>
      </c>
      <c r="EB9" t="s">
        <v>331</v>
      </c>
      <c r="EC9" t="s">
        <v>378</v>
      </c>
      <c r="ED9" t="s">
        <v>379</v>
      </c>
      <c r="EE9" s="38">
        <v>0</v>
      </c>
      <c r="EF9" s="38">
        <v>4099</v>
      </c>
      <c r="EG9" s="38">
        <v>2</v>
      </c>
      <c r="EH9" t="s">
        <v>330</v>
      </c>
      <c r="EL9" t="s">
        <v>331</v>
      </c>
      <c r="EM9" s="38">
        <v>0</v>
      </c>
      <c r="EN9" t="s">
        <v>380</v>
      </c>
      <c r="EO9" t="s">
        <v>381</v>
      </c>
      <c r="EP9" t="s">
        <v>382</v>
      </c>
      <c r="EQ9" t="s">
        <v>349</v>
      </c>
      <c r="ER9" t="s">
        <v>339</v>
      </c>
      <c r="ES9" t="s">
        <v>383</v>
      </c>
      <c r="ET9" t="s">
        <v>384</v>
      </c>
      <c r="EU9" t="s">
        <v>385</v>
      </c>
      <c r="EW9" t="s">
        <v>386</v>
      </c>
      <c r="EX9" t="s">
        <v>331</v>
      </c>
      <c r="FA9" s="38">
        <v>0</v>
      </c>
      <c r="FB9" t="s">
        <v>331</v>
      </c>
      <c r="FD9" t="s">
        <v>331</v>
      </c>
      <c r="FF9" t="s">
        <v>331</v>
      </c>
      <c r="FH9" t="s">
        <v>331</v>
      </c>
      <c r="FJ9" t="s">
        <v>331</v>
      </c>
      <c r="FK9" t="s">
        <v>331</v>
      </c>
      <c r="FL9" t="s">
        <v>330</v>
      </c>
      <c r="FN9" s="37">
        <v>44623</v>
      </c>
      <c r="FO9" t="s">
        <v>582</v>
      </c>
    </row>
    <row r="10" spans="1:171">
      <c r="A10" t="s">
        <v>53</v>
      </c>
      <c r="B10" t="s">
        <v>54</v>
      </c>
      <c r="C10" t="s">
        <v>313</v>
      </c>
      <c r="D10" t="s">
        <v>314</v>
      </c>
      <c r="E10" t="s">
        <v>479</v>
      </c>
      <c r="F10" t="s">
        <v>480</v>
      </c>
      <c r="G10" t="s">
        <v>317</v>
      </c>
      <c r="H10" t="s">
        <v>318</v>
      </c>
      <c r="I10" s="37"/>
      <c r="J10" s="37">
        <v>44879</v>
      </c>
      <c r="K10" s="37">
        <v>44879</v>
      </c>
      <c r="L10" t="s">
        <v>389</v>
      </c>
      <c r="M10" t="s">
        <v>320</v>
      </c>
      <c r="N10" t="s">
        <v>321</v>
      </c>
      <c r="O10" t="s">
        <v>322</v>
      </c>
      <c r="P10" t="s">
        <v>1</v>
      </c>
      <c r="Q10" t="s">
        <v>331</v>
      </c>
      <c r="S10" t="s">
        <v>331</v>
      </c>
      <c r="U10" s="37">
        <v>46023</v>
      </c>
      <c r="V10" s="38">
        <v>6125</v>
      </c>
      <c r="W10" t="s">
        <v>327</v>
      </c>
      <c r="X10" t="s">
        <v>328</v>
      </c>
      <c r="Y10" t="s">
        <v>329</v>
      </c>
      <c r="Z10" s="38">
        <v>0</v>
      </c>
      <c r="AA10" t="s">
        <v>330</v>
      </c>
      <c r="AB10" t="s">
        <v>330</v>
      </c>
      <c r="AC10" t="s">
        <v>330</v>
      </c>
      <c r="AD10" t="s">
        <v>330</v>
      </c>
      <c r="AE10" t="s">
        <v>330</v>
      </c>
      <c r="AF10" t="s">
        <v>330</v>
      </c>
      <c r="AG10" t="s">
        <v>330</v>
      </c>
      <c r="AH10" t="s">
        <v>330</v>
      </c>
      <c r="AI10" t="s">
        <v>330</v>
      </c>
      <c r="AJ10" t="s">
        <v>330</v>
      </c>
      <c r="AK10" t="s">
        <v>331</v>
      </c>
      <c r="AO10" t="s">
        <v>332</v>
      </c>
      <c r="AP10" t="s">
        <v>390</v>
      </c>
      <c r="AQ10" s="37">
        <v>33055</v>
      </c>
      <c r="AR10" t="s">
        <v>334</v>
      </c>
      <c r="AS10" s="38">
        <v>0</v>
      </c>
      <c r="AT10" t="s">
        <v>481</v>
      </c>
      <c r="AU10" t="s">
        <v>369</v>
      </c>
      <c r="AV10" t="s">
        <v>331</v>
      </c>
      <c r="AW10" t="s">
        <v>482</v>
      </c>
      <c r="AX10" t="s">
        <v>483</v>
      </c>
      <c r="AY10" t="s">
        <v>331</v>
      </c>
      <c r="AZ10" t="s">
        <v>331</v>
      </c>
      <c r="BA10" t="s">
        <v>484</v>
      </c>
      <c r="BB10" t="s">
        <v>331</v>
      </c>
      <c r="BC10" t="s">
        <v>339</v>
      </c>
      <c r="BD10" t="s">
        <v>340</v>
      </c>
      <c r="BE10" t="s">
        <v>485</v>
      </c>
      <c r="BF10" t="s">
        <v>486</v>
      </c>
      <c r="BG10" t="s">
        <v>485</v>
      </c>
      <c r="BH10" t="s">
        <v>486</v>
      </c>
      <c r="BI10" t="s">
        <v>487</v>
      </c>
      <c r="BJ10" t="s">
        <v>344</v>
      </c>
      <c r="BK10" t="s">
        <v>345</v>
      </c>
      <c r="BL10" s="37"/>
      <c r="BM10" t="s">
        <v>161</v>
      </c>
      <c r="BN10" t="s">
        <v>346</v>
      </c>
      <c r="BO10" t="s">
        <v>347</v>
      </c>
      <c r="BP10" t="s">
        <v>5</v>
      </c>
      <c r="BQ10" t="s">
        <v>348</v>
      </c>
      <c r="BR10" t="s">
        <v>339</v>
      </c>
      <c r="BS10" t="s">
        <v>349</v>
      </c>
      <c r="BT10" t="s">
        <v>350</v>
      </c>
      <c r="BU10" t="s">
        <v>351</v>
      </c>
      <c r="BV10" t="s">
        <v>352</v>
      </c>
      <c r="BW10" t="s">
        <v>353</v>
      </c>
      <c r="BX10" t="s">
        <v>488</v>
      </c>
      <c r="BY10" t="s">
        <v>489</v>
      </c>
      <c r="BZ10" t="s">
        <v>490</v>
      </c>
      <c r="CA10" t="s">
        <v>491</v>
      </c>
      <c r="CB10" t="s">
        <v>492</v>
      </c>
      <c r="CC10" t="s">
        <v>493</v>
      </c>
      <c r="CD10" t="s">
        <v>347</v>
      </c>
      <c r="CE10" t="s">
        <v>5</v>
      </c>
      <c r="CF10" t="s">
        <v>331</v>
      </c>
      <c r="CH10" t="s">
        <v>494</v>
      </c>
      <c r="CI10" t="s">
        <v>494</v>
      </c>
      <c r="CJ10" t="s">
        <v>331</v>
      </c>
      <c r="CL10" t="s">
        <v>331</v>
      </c>
      <c r="CP10" t="s">
        <v>361</v>
      </c>
      <c r="CQ10" t="s">
        <v>362</v>
      </c>
      <c r="CR10" t="s">
        <v>363</v>
      </c>
      <c r="CS10" t="s">
        <v>364</v>
      </c>
      <c r="CT10" t="s">
        <v>365</v>
      </c>
      <c r="CU10" t="s">
        <v>147</v>
      </c>
      <c r="CV10" t="s">
        <v>495</v>
      </c>
      <c r="CW10" t="s">
        <v>496</v>
      </c>
      <c r="CZ10" t="s">
        <v>370</v>
      </c>
      <c r="DA10" t="s">
        <v>371</v>
      </c>
      <c r="DB10" t="s">
        <v>372</v>
      </c>
      <c r="DC10" t="s">
        <v>361</v>
      </c>
      <c r="DD10" t="s">
        <v>362</v>
      </c>
      <c r="DE10" t="s">
        <v>497</v>
      </c>
      <c r="DF10" t="s">
        <v>498</v>
      </c>
      <c r="DH10" t="s">
        <v>375</v>
      </c>
      <c r="DI10" s="37">
        <v>46100</v>
      </c>
      <c r="DN10" s="37"/>
      <c r="DO10" t="s">
        <v>335</v>
      </c>
      <c r="DP10" t="s">
        <v>336</v>
      </c>
      <c r="DQ10" t="s">
        <v>329</v>
      </c>
      <c r="DR10" t="s">
        <v>376</v>
      </c>
      <c r="DS10" t="s">
        <v>377</v>
      </c>
      <c r="DU10" t="s">
        <v>335</v>
      </c>
      <c r="DV10" t="s">
        <v>336</v>
      </c>
      <c r="DW10" t="s">
        <v>336</v>
      </c>
      <c r="DX10" t="s">
        <v>335</v>
      </c>
      <c r="DY10" t="s">
        <v>336</v>
      </c>
      <c r="DZ10" s="38">
        <v>6125</v>
      </c>
      <c r="EA10" s="38">
        <v>25.520833333333332</v>
      </c>
      <c r="EB10" t="s">
        <v>331</v>
      </c>
      <c r="EC10" t="s">
        <v>378</v>
      </c>
      <c r="ED10" t="s">
        <v>379</v>
      </c>
      <c r="EE10" s="38">
        <v>0</v>
      </c>
      <c r="EF10" s="38">
        <v>6125</v>
      </c>
      <c r="EG10" s="38">
        <v>8</v>
      </c>
      <c r="EH10" t="s">
        <v>330</v>
      </c>
      <c r="EL10" t="s">
        <v>331</v>
      </c>
      <c r="EM10" s="38">
        <v>0</v>
      </c>
      <c r="EN10" t="s">
        <v>380</v>
      </c>
      <c r="EO10" t="s">
        <v>381</v>
      </c>
      <c r="EP10" t="s">
        <v>382</v>
      </c>
      <c r="EQ10" t="s">
        <v>349</v>
      </c>
      <c r="ER10" t="s">
        <v>339</v>
      </c>
      <c r="ES10" t="s">
        <v>383</v>
      </c>
      <c r="ET10" t="s">
        <v>384</v>
      </c>
      <c r="EU10" t="s">
        <v>385</v>
      </c>
      <c r="EW10" t="s">
        <v>499</v>
      </c>
      <c r="EX10" t="s">
        <v>331</v>
      </c>
      <c r="FA10" s="38">
        <v>0</v>
      </c>
      <c r="FB10" t="s">
        <v>331</v>
      </c>
      <c r="FD10" t="s">
        <v>331</v>
      </c>
      <c r="FF10" t="s">
        <v>331</v>
      </c>
      <c r="FH10" t="s">
        <v>331</v>
      </c>
      <c r="FJ10" t="s">
        <v>331</v>
      </c>
      <c r="FK10" t="s">
        <v>331</v>
      </c>
      <c r="FL10" t="s">
        <v>330</v>
      </c>
      <c r="FN10" s="37">
        <v>44879</v>
      </c>
      <c r="FO10" t="s">
        <v>583</v>
      </c>
    </row>
    <row r="11" spans="1:171">
      <c r="A11" t="s">
        <v>58</v>
      </c>
      <c r="B11" t="s">
        <v>60</v>
      </c>
      <c r="C11" t="s">
        <v>313</v>
      </c>
      <c r="D11" t="s">
        <v>314</v>
      </c>
      <c r="E11" t="s">
        <v>500</v>
      </c>
      <c r="F11" t="s">
        <v>501</v>
      </c>
      <c r="G11" t="s">
        <v>317</v>
      </c>
      <c r="H11" t="s">
        <v>318</v>
      </c>
      <c r="I11" s="37"/>
      <c r="J11" s="37">
        <v>43241</v>
      </c>
      <c r="K11" s="37">
        <v>43241</v>
      </c>
      <c r="L11" t="s">
        <v>389</v>
      </c>
      <c r="M11" t="s">
        <v>320</v>
      </c>
      <c r="N11" t="s">
        <v>321</v>
      </c>
      <c r="O11" t="s">
        <v>322</v>
      </c>
      <c r="P11" t="s">
        <v>1</v>
      </c>
      <c r="Q11" t="s">
        <v>323</v>
      </c>
      <c r="R11" t="s">
        <v>324</v>
      </c>
      <c r="S11" t="s">
        <v>325</v>
      </c>
      <c r="T11" t="s">
        <v>326</v>
      </c>
      <c r="U11" s="37">
        <v>46023</v>
      </c>
      <c r="V11" s="38">
        <v>4631</v>
      </c>
      <c r="W11" t="s">
        <v>327</v>
      </c>
      <c r="X11" t="s">
        <v>328</v>
      </c>
      <c r="Y11" t="s">
        <v>329</v>
      </c>
      <c r="Z11" s="38">
        <v>0</v>
      </c>
      <c r="AA11" t="s">
        <v>330</v>
      </c>
      <c r="AB11" t="s">
        <v>330</v>
      </c>
      <c r="AC11" t="s">
        <v>330</v>
      </c>
      <c r="AD11" t="s">
        <v>330</v>
      </c>
      <c r="AE11" t="s">
        <v>330</v>
      </c>
      <c r="AF11" t="s">
        <v>330</v>
      </c>
      <c r="AG11" t="s">
        <v>330</v>
      </c>
      <c r="AH11" t="s">
        <v>330</v>
      </c>
      <c r="AI11" t="s">
        <v>330</v>
      </c>
      <c r="AJ11" t="s">
        <v>330</v>
      </c>
      <c r="AK11" t="s">
        <v>331</v>
      </c>
      <c r="AO11" t="s">
        <v>332</v>
      </c>
      <c r="AP11" t="s">
        <v>390</v>
      </c>
      <c r="AQ11" s="37">
        <v>33141</v>
      </c>
      <c r="AR11" t="s">
        <v>334</v>
      </c>
      <c r="AS11" s="38">
        <v>0</v>
      </c>
      <c r="AT11" t="s">
        <v>335</v>
      </c>
      <c r="AU11" t="s">
        <v>336</v>
      </c>
      <c r="AV11" t="s">
        <v>502</v>
      </c>
      <c r="AW11" t="s">
        <v>503</v>
      </c>
      <c r="AX11" t="s">
        <v>331</v>
      </c>
      <c r="AY11" t="s">
        <v>331</v>
      </c>
      <c r="AZ11" t="s">
        <v>331</v>
      </c>
      <c r="BA11" t="s">
        <v>331</v>
      </c>
      <c r="BB11" t="s">
        <v>331</v>
      </c>
      <c r="BC11" t="s">
        <v>339</v>
      </c>
      <c r="BD11" t="s">
        <v>340</v>
      </c>
      <c r="BE11" t="s">
        <v>341</v>
      </c>
      <c r="BF11" t="s">
        <v>342</v>
      </c>
      <c r="BG11" t="s">
        <v>341</v>
      </c>
      <c r="BH11" t="s">
        <v>342</v>
      </c>
      <c r="BI11" t="s">
        <v>504</v>
      </c>
      <c r="BJ11" t="s">
        <v>344</v>
      </c>
      <c r="BK11" t="s">
        <v>345</v>
      </c>
      <c r="BL11" s="37"/>
      <c r="BM11" t="s">
        <v>161</v>
      </c>
      <c r="BN11" t="s">
        <v>346</v>
      </c>
      <c r="BO11" t="s">
        <v>347</v>
      </c>
      <c r="BP11" t="s">
        <v>5</v>
      </c>
      <c r="BQ11" t="s">
        <v>348</v>
      </c>
      <c r="BR11" t="s">
        <v>339</v>
      </c>
      <c r="BS11" t="s">
        <v>349</v>
      </c>
      <c r="BT11" t="s">
        <v>419</v>
      </c>
      <c r="BU11" t="s">
        <v>420</v>
      </c>
      <c r="BV11" t="s">
        <v>421</v>
      </c>
      <c r="BW11" t="s">
        <v>422</v>
      </c>
      <c r="BX11" t="s">
        <v>473</v>
      </c>
      <c r="BY11" t="s">
        <v>474</v>
      </c>
      <c r="BZ11" t="s">
        <v>408</v>
      </c>
      <c r="CA11" t="s">
        <v>409</v>
      </c>
      <c r="CB11" t="s">
        <v>410</v>
      </c>
      <c r="CC11" t="s">
        <v>411</v>
      </c>
      <c r="CD11" t="s">
        <v>347</v>
      </c>
      <c r="CE11" t="s">
        <v>5</v>
      </c>
      <c r="CF11" t="s">
        <v>58</v>
      </c>
      <c r="CG11" t="s">
        <v>505</v>
      </c>
      <c r="CH11" t="s">
        <v>360</v>
      </c>
      <c r="CI11" t="s">
        <v>360</v>
      </c>
      <c r="CJ11" t="s">
        <v>58</v>
      </c>
      <c r="CK11" t="s">
        <v>59</v>
      </c>
      <c r="CL11" t="s">
        <v>331</v>
      </c>
      <c r="CP11" t="s">
        <v>361</v>
      </c>
      <c r="CQ11" t="s">
        <v>362</v>
      </c>
      <c r="CR11" t="s">
        <v>363</v>
      </c>
      <c r="CS11" t="s">
        <v>364</v>
      </c>
      <c r="CT11" t="s">
        <v>365</v>
      </c>
      <c r="CU11" t="s">
        <v>147</v>
      </c>
      <c r="CV11" t="s">
        <v>439</v>
      </c>
      <c r="CW11" t="s">
        <v>440</v>
      </c>
      <c r="CX11" t="s">
        <v>368</v>
      </c>
      <c r="CY11" t="s">
        <v>369</v>
      </c>
      <c r="CZ11" t="s">
        <v>370</v>
      </c>
      <c r="DA11" t="s">
        <v>371</v>
      </c>
      <c r="DB11" t="s">
        <v>372</v>
      </c>
      <c r="DC11" t="s">
        <v>361</v>
      </c>
      <c r="DD11" t="s">
        <v>362</v>
      </c>
      <c r="DE11" t="s">
        <v>429</v>
      </c>
      <c r="DF11" t="s">
        <v>409</v>
      </c>
      <c r="DH11" t="s">
        <v>375</v>
      </c>
      <c r="DI11" s="37">
        <v>46100</v>
      </c>
      <c r="DN11" s="37"/>
      <c r="DO11" t="s">
        <v>335</v>
      </c>
      <c r="DP11" t="s">
        <v>336</v>
      </c>
      <c r="DQ11" t="s">
        <v>329</v>
      </c>
      <c r="DR11" t="s">
        <v>376</v>
      </c>
      <c r="DS11" t="s">
        <v>377</v>
      </c>
      <c r="DU11" t="s">
        <v>335</v>
      </c>
      <c r="DV11" t="s">
        <v>336</v>
      </c>
      <c r="DW11" t="s">
        <v>336</v>
      </c>
      <c r="DX11" t="s">
        <v>335</v>
      </c>
      <c r="DY11" t="s">
        <v>336</v>
      </c>
      <c r="DZ11" s="38">
        <v>4631</v>
      </c>
      <c r="EA11" s="38">
        <v>19.295833333333334</v>
      </c>
      <c r="EB11" t="s">
        <v>331</v>
      </c>
      <c r="EC11" t="s">
        <v>378</v>
      </c>
      <c r="ED11" t="s">
        <v>379</v>
      </c>
      <c r="EE11" s="38">
        <v>0</v>
      </c>
      <c r="EF11" s="38">
        <v>4631</v>
      </c>
      <c r="EG11" s="38">
        <v>10</v>
      </c>
      <c r="EH11" t="s">
        <v>330</v>
      </c>
      <c r="EL11" t="s">
        <v>331</v>
      </c>
      <c r="EM11" s="38">
        <v>0</v>
      </c>
      <c r="EN11" t="s">
        <v>380</v>
      </c>
      <c r="EO11" t="s">
        <v>381</v>
      </c>
      <c r="EP11" t="s">
        <v>382</v>
      </c>
      <c r="EQ11" t="s">
        <v>349</v>
      </c>
      <c r="ER11" t="s">
        <v>339</v>
      </c>
      <c r="ES11" t="s">
        <v>383</v>
      </c>
      <c r="ET11" t="s">
        <v>384</v>
      </c>
      <c r="EU11" t="s">
        <v>385</v>
      </c>
      <c r="EW11" t="s">
        <v>386</v>
      </c>
      <c r="EX11" t="s">
        <v>331</v>
      </c>
      <c r="FA11" s="38">
        <v>0</v>
      </c>
      <c r="FB11" t="s">
        <v>331</v>
      </c>
      <c r="FD11" t="s">
        <v>331</v>
      </c>
      <c r="FF11" t="s">
        <v>331</v>
      </c>
      <c r="FH11" t="s">
        <v>331</v>
      </c>
      <c r="FJ11" t="s">
        <v>331</v>
      </c>
      <c r="FK11" t="s">
        <v>331</v>
      </c>
      <c r="FL11" t="s">
        <v>330</v>
      </c>
      <c r="FN11" s="37">
        <v>43241</v>
      </c>
      <c r="FO11" t="s">
        <v>584</v>
      </c>
    </row>
    <row r="12" spans="1:171">
      <c r="A12" t="s">
        <v>69</v>
      </c>
      <c r="B12" t="s">
        <v>71</v>
      </c>
      <c r="C12" t="s">
        <v>313</v>
      </c>
      <c r="D12" t="s">
        <v>314</v>
      </c>
      <c r="E12" t="s">
        <v>506</v>
      </c>
      <c r="F12" t="s">
        <v>507</v>
      </c>
      <c r="G12" t="s">
        <v>317</v>
      </c>
      <c r="H12" t="s">
        <v>318</v>
      </c>
      <c r="I12" s="37"/>
      <c r="J12" s="37">
        <v>45323</v>
      </c>
      <c r="K12" s="37">
        <v>45323</v>
      </c>
      <c r="L12" t="s">
        <v>389</v>
      </c>
      <c r="M12" t="s">
        <v>320</v>
      </c>
      <c r="N12" t="s">
        <v>321</v>
      </c>
      <c r="O12" t="s">
        <v>322</v>
      </c>
      <c r="P12" t="s">
        <v>1</v>
      </c>
      <c r="Q12" t="s">
        <v>323</v>
      </c>
      <c r="R12" t="s">
        <v>324</v>
      </c>
      <c r="S12" t="s">
        <v>325</v>
      </c>
      <c r="T12" t="s">
        <v>326</v>
      </c>
      <c r="U12" s="37">
        <v>46023</v>
      </c>
      <c r="V12" s="38">
        <v>2142</v>
      </c>
      <c r="W12" t="s">
        <v>327</v>
      </c>
      <c r="X12" t="s">
        <v>328</v>
      </c>
      <c r="Y12" t="s">
        <v>329</v>
      </c>
      <c r="Z12" s="38">
        <v>0</v>
      </c>
      <c r="AA12" t="s">
        <v>330</v>
      </c>
      <c r="AB12" t="s">
        <v>330</v>
      </c>
      <c r="AC12" t="s">
        <v>330</v>
      </c>
      <c r="AD12" t="s">
        <v>330</v>
      </c>
      <c r="AE12" t="s">
        <v>330</v>
      </c>
      <c r="AF12" t="s">
        <v>330</v>
      </c>
      <c r="AG12" t="s">
        <v>330</v>
      </c>
      <c r="AH12" t="s">
        <v>330</v>
      </c>
      <c r="AI12" t="s">
        <v>330</v>
      </c>
      <c r="AJ12" t="s">
        <v>330</v>
      </c>
      <c r="AK12" t="s">
        <v>331</v>
      </c>
      <c r="AO12" t="s">
        <v>332</v>
      </c>
      <c r="AP12" t="s">
        <v>508</v>
      </c>
      <c r="AQ12" s="37">
        <v>35563</v>
      </c>
      <c r="AR12" t="s">
        <v>334</v>
      </c>
      <c r="AS12" s="38">
        <v>0</v>
      </c>
      <c r="AT12" t="s">
        <v>335</v>
      </c>
      <c r="AU12" t="s">
        <v>336</v>
      </c>
      <c r="AV12" t="s">
        <v>331</v>
      </c>
      <c r="AW12" t="s">
        <v>509</v>
      </c>
      <c r="AX12" t="s">
        <v>509</v>
      </c>
      <c r="AY12" t="s">
        <v>331</v>
      </c>
      <c r="AZ12" t="s">
        <v>331</v>
      </c>
      <c r="BA12" t="s">
        <v>331</v>
      </c>
      <c r="BB12" t="s">
        <v>331</v>
      </c>
      <c r="BC12" t="s">
        <v>339</v>
      </c>
      <c r="BD12" t="s">
        <v>340</v>
      </c>
      <c r="BE12" t="s">
        <v>445</v>
      </c>
      <c r="BF12" t="s">
        <v>446</v>
      </c>
      <c r="BG12" t="s">
        <v>445</v>
      </c>
      <c r="BH12" t="s">
        <v>446</v>
      </c>
      <c r="BI12" t="s">
        <v>510</v>
      </c>
      <c r="BJ12" t="s">
        <v>344</v>
      </c>
      <c r="BK12" t="s">
        <v>345</v>
      </c>
      <c r="BL12" s="37"/>
      <c r="BM12" t="s">
        <v>161</v>
      </c>
      <c r="BN12" t="s">
        <v>346</v>
      </c>
      <c r="BO12" t="s">
        <v>347</v>
      </c>
      <c r="BP12" t="s">
        <v>5</v>
      </c>
      <c r="BQ12" t="s">
        <v>348</v>
      </c>
      <c r="BR12" t="s">
        <v>339</v>
      </c>
      <c r="BS12" t="s">
        <v>349</v>
      </c>
      <c r="BT12" t="s">
        <v>347</v>
      </c>
      <c r="BU12" t="s">
        <v>5</v>
      </c>
      <c r="BV12" t="s">
        <v>352</v>
      </c>
      <c r="BW12" t="s">
        <v>353</v>
      </c>
      <c r="BX12" t="s">
        <v>354</v>
      </c>
      <c r="BY12" t="s">
        <v>355</v>
      </c>
      <c r="BZ12" t="s">
        <v>356</v>
      </c>
      <c r="CA12" t="s">
        <v>357</v>
      </c>
      <c r="CB12" t="s">
        <v>358</v>
      </c>
      <c r="CC12" t="s">
        <v>357</v>
      </c>
      <c r="CD12" t="s">
        <v>347</v>
      </c>
      <c r="CE12" t="s">
        <v>5</v>
      </c>
      <c r="CF12" t="s">
        <v>69</v>
      </c>
      <c r="CG12" t="s">
        <v>70</v>
      </c>
      <c r="CH12" t="s">
        <v>360</v>
      </c>
      <c r="CI12" t="s">
        <v>360</v>
      </c>
      <c r="CJ12" t="s">
        <v>347</v>
      </c>
      <c r="CK12" t="s">
        <v>5</v>
      </c>
      <c r="CL12" t="s">
        <v>331</v>
      </c>
      <c r="CP12" t="s">
        <v>361</v>
      </c>
      <c r="CQ12" t="s">
        <v>362</v>
      </c>
      <c r="CR12" t="s">
        <v>363</v>
      </c>
      <c r="CS12" t="s">
        <v>364</v>
      </c>
      <c r="CT12" t="s">
        <v>365</v>
      </c>
      <c r="CU12" t="s">
        <v>147</v>
      </c>
      <c r="CV12" t="s">
        <v>511</v>
      </c>
      <c r="CW12" t="s">
        <v>512</v>
      </c>
      <c r="CX12" t="s">
        <v>368</v>
      </c>
      <c r="CY12" t="s">
        <v>369</v>
      </c>
      <c r="CZ12" t="s">
        <v>370</v>
      </c>
      <c r="DA12" t="s">
        <v>371</v>
      </c>
      <c r="DB12" t="s">
        <v>372</v>
      </c>
      <c r="DC12" t="s">
        <v>361</v>
      </c>
      <c r="DD12" t="s">
        <v>362</v>
      </c>
      <c r="DE12" t="s">
        <v>453</v>
      </c>
      <c r="DF12" t="s">
        <v>454</v>
      </c>
      <c r="DH12" t="s">
        <v>375</v>
      </c>
      <c r="DI12" s="37">
        <v>46100</v>
      </c>
      <c r="DN12" s="37"/>
      <c r="DO12" t="s">
        <v>335</v>
      </c>
      <c r="DP12" t="s">
        <v>336</v>
      </c>
      <c r="DQ12" t="s">
        <v>329</v>
      </c>
      <c r="DR12" t="s">
        <v>376</v>
      </c>
      <c r="DS12" t="s">
        <v>377</v>
      </c>
      <c r="DU12" t="s">
        <v>335</v>
      </c>
      <c r="DV12" t="s">
        <v>336</v>
      </c>
      <c r="DW12" t="s">
        <v>336</v>
      </c>
      <c r="DX12" t="s">
        <v>335</v>
      </c>
      <c r="DY12" t="s">
        <v>336</v>
      </c>
      <c r="DZ12" s="38">
        <v>2142</v>
      </c>
      <c r="EA12" s="38">
        <v>8.9250000000000007</v>
      </c>
      <c r="EB12" t="s">
        <v>331</v>
      </c>
      <c r="EC12" t="s">
        <v>378</v>
      </c>
      <c r="ED12" t="s">
        <v>379</v>
      </c>
      <c r="EE12" s="38">
        <v>0</v>
      </c>
      <c r="EF12" s="38">
        <v>2142</v>
      </c>
      <c r="EG12" s="38">
        <v>14</v>
      </c>
      <c r="EH12" t="s">
        <v>330</v>
      </c>
      <c r="EL12" t="s">
        <v>331</v>
      </c>
      <c r="EM12" s="38">
        <v>0</v>
      </c>
      <c r="EN12" t="s">
        <v>380</v>
      </c>
      <c r="EO12" t="s">
        <v>381</v>
      </c>
      <c r="EP12" t="s">
        <v>382</v>
      </c>
      <c r="EQ12" t="s">
        <v>349</v>
      </c>
      <c r="ER12" t="s">
        <v>445</v>
      </c>
      <c r="ES12" t="s">
        <v>446</v>
      </c>
      <c r="ET12" t="s">
        <v>513</v>
      </c>
      <c r="EU12" t="s">
        <v>313</v>
      </c>
      <c r="EW12" t="s">
        <v>386</v>
      </c>
      <c r="EX12" t="s">
        <v>331</v>
      </c>
      <c r="FA12" s="38">
        <v>0</v>
      </c>
      <c r="FB12" t="s">
        <v>331</v>
      </c>
      <c r="FD12" t="s">
        <v>331</v>
      </c>
      <c r="FF12" t="s">
        <v>331</v>
      </c>
      <c r="FH12" t="s">
        <v>331</v>
      </c>
      <c r="FJ12" t="s">
        <v>331</v>
      </c>
      <c r="FK12" t="s">
        <v>331</v>
      </c>
      <c r="FL12" t="s">
        <v>330</v>
      </c>
      <c r="FN12" s="37">
        <v>45323</v>
      </c>
      <c r="FO12" t="s">
        <v>585</v>
      </c>
    </row>
    <row r="13" spans="1:171">
      <c r="A13" t="s">
        <v>73</v>
      </c>
      <c r="B13" t="s">
        <v>75</v>
      </c>
      <c r="C13" t="s">
        <v>530</v>
      </c>
      <c r="D13" t="s">
        <v>531</v>
      </c>
      <c r="E13" t="s">
        <v>532</v>
      </c>
      <c r="F13" t="s">
        <v>533</v>
      </c>
      <c r="G13" t="s">
        <v>317</v>
      </c>
      <c r="H13" t="s">
        <v>318</v>
      </c>
      <c r="I13" s="37"/>
      <c r="J13" s="37">
        <v>42438</v>
      </c>
      <c r="K13" s="37">
        <v>42438</v>
      </c>
      <c r="L13" t="s">
        <v>389</v>
      </c>
      <c r="M13" t="s">
        <v>320</v>
      </c>
      <c r="N13" t="s">
        <v>321</v>
      </c>
      <c r="O13" t="s">
        <v>322</v>
      </c>
      <c r="P13" t="s">
        <v>1</v>
      </c>
      <c r="Q13" t="s">
        <v>323</v>
      </c>
      <c r="R13" t="s">
        <v>324</v>
      </c>
      <c r="S13" t="s">
        <v>325</v>
      </c>
      <c r="T13" t="s">
        <v>326</v>
      </c>
      <c r="U13" s="37">
        <v>46023</v>
      </c>
      <c r="V13" s="38">
        <v>6644</v>
      </c>
      <c r="W13" t="s">
        <v>327</v>
      </c>
      <c r="X13" t="s">
        <v>328</v>
      </c>
      <c r="Y13" t="s">
        <v>329</v>
      </c>
      <c r="Z13" s="38">
        <v>0</v>
      </c>
      <c r="AA13" t="s">
        <v>330</v>
      </c>
      <c r="AB13" t="s">
        <v>330</v>
      </c>
      <c r="AC13" t="s">
        <v>330</v>
      </c>
      <c r="AD13" t="s">
        <v>330</v>
      </c>
      <c r="AE13" t="s">
        <v>330</v>
      </c>
      <c r="AF13" t="s">
        <v>330</v>
      </c>
      <c r="AG13" t="s">
        <v>330</v>
      </c>
      <c r="AH13" t="s">
        <v>330</v>
      </c>
      <c r="AI13" t="s">
        <v>330</v>
      </c>
      <c r="AJ13" t="s">
        <v>330</v>
      </c>
      <c r="AK13" t="s">
        <v>331</v>
      </c>
      <c r="AO13" t="s">
        <v>402</v>
      </c>
      <c r="AP13" t="s">
        <v>390</v>
      </c>
      <c r="AQ13" s="37">
        <v>32801</v>
      </c>
      <c r="AR13" t="s">
        <v>334</v>
      </c>
      <c r="AS13" s="38">
        <v>0</v>
      </c>
      <c r="AT13" t="s">
        <v>534</v>
      </c>
      <c r="AU13" t="s">
        <v>535</v>
      </c>
      <c r="AV13" t="s">
        <v>536</v>
      </c>
      <c r="AW13" t="s">
        <v>537</v>
      </c>
      <c r="AX13" t="s">
        <v>538</v>
      </c>
      <c r="AY13" t="s">
        <v>331</v>
      </c>
      <c r="AZ13" t="s">
        <v>331</v>
      </c>
      <c r="BA13" t="s">
        <v>331</v>
      </c>
      <c r="BB13" t="s">
        <v>331</v>
      </c>
      <c r="BC13" t="s">
        <v>339</v>
      </c>
      <c r="BD13" t="s">
        <v>340</v>
      </c>
      <c r="BE13" t="s">
        <v>539</v>
      </c>
      <c r="BF13" t="s">
        <v>540</v>
      </c>
      <c r="BG13" t="s">
        <v>539</v>
      </c>
      <c r="BH13" t="s">
        <v>540</v>
      </c>
      <c r="BI13" t="s">
        <v>541</v>
      </c>
      <c r="BJ13" t="s">
        <v>344</v>
      </c>
      <c r="BK13" t="s">
        <v>345</v>
      </c>
      <c r="BL13" s="37"/>
      <c r="BM13" t="s">
        <v>161</v>
      </c>
      <c r="BN13" t="s">
        <v>346</v>
      </c>
      <c r="BO13" t="s">
        <v>347</v>
      </c>
      <c r="BP13" t="s">
        <v>5</v>
      </c>
      <c r="BQ13" t="s">
        <v>348</v>
      </c>
      <c r="BR13" t="s">
        <v>339</v>
      </c>
      <c r="BS13" t="s">
        <v>349</v>
      </c>
      <c r="BT13" t="s">
        <v>419</v>
      </c>
      <c r="BU13" t="s">
        <v>420</v>
      </c>
      <c r="BV13" t="s">
        <v>352</v>
      </c>
      <c r="BW13" t="s">
        <v>353</v>
      </c>
      <c r="BX13" t="s">
        <v>488</v>
      </c>
      <c r="BY13" t="s">
        <v>489</v>
      </c>
      <c r="BZ13" t="s">
        <v>490</v>
      </c>
      <c r="CA13" t="s">
        <v>491</v>
      </c>
      <c r="CB13" t="s">
        <v>410</v>
      </c>
      <c r="CC13" t="s">
        <v>411</v>
      </c>
      <c r="CD13" t="s">
        <v>347</v>
      </c>
      <c r="CE13" t="s">
        <v>5</v>
      </c>
      <c r="CF13" t="s">
        <v>73</v>
      </c>
      <c r="CG13" t="s">
        <v>542</v>
      </c>
      <c r="CH13" t="s">
        <v>360</v>
      </c>
      <c r="CI13" t="s">
        <v>360</v>
      </c>
      <c r="CJ13" t="s">
        <v>73</v>
      </c>
      <c r="CK13" t="s">
        <v>74</v>
      </c>
      <c r="CL13" t="s">
        <v>331</v>
      </c>
      <c r="CP13" t="s">
        <v>361</v>
      </c>
      <c r="CQ13" t="s">
        <v>362</v>
      </c>
      <c r="CR13" t="s">
        <v>363</v>
      </c>
      <c r="CS13" t="s">
        <v>364</v>
      </c>
      <c r="CT13" t="s">
        <v>365</v>
      </c>
      <c r="CU13" t="s">
        <v>147</v>
      </c>
      <c r="CV13" t="s">
        <v>439</v>
      </c>
      <c r="CW13" t="s">
        <v>440</v>
      </c>
      <c r="CX13" t="s">
        <v>368</v>
      </c>
      <c r="CY13" t="s">
        <v>369</v>
      </c>
      <c r="CZ13" t="s">
        <v>370</v>
      </c>
      <c r="DA13" t="s">
        <v>371</v>
      </c>
      <c r="DB13" t="s">
        <v>372</v>
      </c>
      <c r="DC13" t="s">
        <v>361</v>
      </c>
      <c r="DD13" t="s">
        <v>362</v>
      </c>
      <c r="DE13" t="s">
        <v>373</v>
      </c>
      <c r="DF13" t="s">
        <v>374</v>
      </c>
      <c r="DH13" t="s">
        <v>375</v>
      </c>
      <c r="DI13" s="37">
        <v>46100</v>
      </c>
      <c r="DN13" s="37"/>
      <c r="DO13" t="s">
        <v>335</v>
      </c>
      <c r="DP13" t="s">
        <v>336</v>
      </c>
      <c r="DQ13" t="s">
        <v>329</v>
      </c>
      <c r="DR13" t="s">
        <v>376</v>
      </c>
      <c r="DS13" t="s">
        <v>377</v>
      </c>
      <c r="DU13" t="s">
        <v>335</v>
      </c>
      <c r="DV13" t="s">
        <v>336</v>
      </c>
      <c r="DW13" t="s">
        <v>336</v>
      </c>
      <c r="DX13" t="s">
        <v>335</v>
      </c>
      <c r="DY13" t="s">
        <v>336</v>
      </c>
      <c r="DZ13" s="38">
        <v>6644</v>
      </c>
      <c r="EA13" s="38">
        <v>27.683333333333334</v>
      </c>
      <c r="EB13" t="s">
        <v>331</v>
      </c>
      <c r="EC13" t="s">
        <v>378</v>
      </c>
      <c r="ED13" t="s">
        <v>379</v>
      </c>
      <c r="EE13" s="38">
        <v>0</v>
      </c>
      <c r="EF13" s="38">
        <v>6644</v>
      </c>
      <c r="EG13" s="38">
        <v>12</v>
      </c>
      <c r="EH13" t="s">
        <v>330</v>
      </c>
      <c r="EL13" t="s">
        <v>331</v>
      </c>
      <c r="EM13" s="38">
        <v>0</v>
      </c>
      <c r="EN13" t="s">
        <v>380</v>
      </c>
      <c r="EO13" t="s">
        <v>381</v>
      </c>
      <c r="EP13" t="s">
        <v>382</v>
      </c>
      <c r="EQ13" t="s">
        <v>349</v>
      </c>
      <c r="ER13" t="s">
        <v>339</v>
      </c>
      <c r="ES13" t="s">
        <v>383</v>
      </c>
      <c r="ET13" t="s">
        <v>384</v>
      </c>
      <c r="EU13" t="s">
        <v>385</v>
      </c>
      <c r="EW13" t="s">
        <v>543</v>
      </c>
      <c r="EX13" t="s">
        <v>331</v>
      </c>
      <c r="FA13" s="38">
        <v>0</v>
      </c>
      <c r="FB13" t="s">
        <v>331</v>
      </c>
      <c r="FD13" t="s">
        <v>331</v>
      </c>
      <c r="FF13" t="s">
        <v>331</v>
      </c>
      <c r="FH13" t="s">
        <v>331</v>
      </c>
      <c r="FJ13" t="s">
        <v>331</v>
      </c>
      <c r="FK13" t="s">
        <v>331</v>
      </c>
      <c r="FL13" t="s">
        <v>330</v>
      </c>
      <c r="FN13" s="37">
        <v>42438</v>
      </c>
      <c r="FO13" t="s">
        <v>586</v>
      </c>
    </row>
    <row r="14" spans="1:171">
      <c r="A14" t="s">
        <v>81</v>
      </c>
      <c r="B14" t="s">
        <v>81</v>
      </c>
      <c r="C14" t="s">
        <v>313</v>
      </c>
      <c r="D14" t="s">
        <v>314</v>
      </c>
      <c r="E14" t="s">
        <v>544</v>
      </c>
      <c r="F14" t="s">
        <v>545</v>
      </c>
      <c r="G14" t="s">
        <v>317</v>
      </c>
      <c r="H14" t="s">
        <v>318</v>
      </c>
      <c r="I14" s="37"/>
      <c r="J14" s="37">
        <v>45740</v>
      </c>
      <c r="K14" s="37">
        <v>45740</v>
      </c>
      <c r="L14" t="s">
        <v>389</v>
      </c>
      <c r="M14" t="s">
        <v>320</v>
      </c>
      <c r="N14" t="s">
        <v>321</v>
      </c>
      <c r="O14" t="s">
        <v>322</v>
      </c>
      <c r="P14" t="s">
        <v>1</v>
      </c>
      <c r="Q14" t="s">
        <v>323</v>
      </c>
      <c r="R14" t="s">
        <v>324</v>
      </c>
      <c r="S14" t="s">
        <v>325</v>
      </c>
      <c r="T14" t="s">
        <v>326</v>
      </c>
      <c r="U14" s="37">
        <v>46023</v>
      </c>
      <c r="V14" s="38">
        <v>3090</v>
      </c>
      <c r="W14" t="s">
        <v>327</v>
      </c>
      <c r="X14" t="s">
        <v>328</v>
      </c>
      <c r="Y14" t="s">
        <v>329</v>
      </c>
      <c r="Z14" s="38">
        <v>0</v>
      </c>
      <c r="AA14" t="s">
        <v>330</v>
      </c>
      <c r="AB14" t="s">
        <v>330</v>
      </c>
      <c r="AC14" t="s">
        <v>330</v>
      </c>
      <c r="AD14" t="s">
        <v>330</v>
      </c>
      <c r="AE14" t="s">
        <v>330</v>
      </c>
      <c r="AF14" t="s">
        <v>330</v>
      </c>
      <c r="AG14" t="s">
        <v>330</v>
      </c>
      <c r="AH14" t="s">
        <v>330</v>
      </c>
      <c r="AI14" t="s">
        <v>330</v>
      </c>
      <c r="AJ14" t="s">
        <v>330</v>
      </c>
      <c r="AK14" t="s">
        <v>331</v>
      </c>
      <c r="AO14" t="s">
        <v>332</v>
      </c>
      <c r="AP14" t="s">
        <v>390</v>
      </c>
      <c r="AQ14" s="37">
        <v>30617</v>
      </c>
      <c r="AR14" t="s">
        <v>334</v>
      </c>
      <c r="AS14" s="38">
        <v>0</v>
      </c>
      <c r="AT14" t="s">
        <v>335</v>
      </c>
      <c r="AU14" t="s">
        <v>336</v>
      </c>
      <c r="AV14" t="s">
        <v>546</v>
      </c>
      <c r="AW14" t="s">
        <v>547</v>
      </c>
      <c r="AX14" t="s">
        <v>548</v>
      </c>
      <c r="AY14" t="s">
        <v>548</v>
      </c>
      <c r="AZ14" t="s">
        <v>331</v>
      </c>
      <c r="BA14" t="s">
        <v>331</v>
      </c>
      <c r="BB14" t="s">
        <v>331</v>
      </c>
      <c r="BC14" t="s">
        <v>339</v>
      </c>
      <c r="BD14" t="s">
        <v>340</v>
      </c>
      <c r="BE14" t="s">
        <v>445</v>
      </c>
      <c r="BF14" t="s">
        <v>446</v>
      </c>
      <c r="BG14" t="s">
        <v>445</v>
      </c>
      <c r="BH14" t="s">
        <v>446</v>
      </c>
      <c r="BI14" t="s">
        <v>549</v>
      </c>
      <c r="BJ14" t="s">
        <v>344</v>
      </c>
      <c r="BK14" t="s">
        <v>345</v>
      </c>
      <c r="BL14" s="37"/>
      <c r="BM14" t="s">
        <v>161</v>
      </c>
      <c r="BN14" t="s">
        <v>346</v>
      </c>
      <c r="BO14" t="s">
        <v>347</v>
      </c>
      <c r="BP14" t="s">
        <v>5</v>
      </c>
      <c r="BQ14" t="s">
        <v>348</v>
      </c>
      <c r="BR14" t="s">
        <v>339</v>
      </c>
      <c r="BS14" t="s">
        <v>349</v>
      </c>
      <c r="BT14" t="s">
        <v>395</v>
      </c>
      <c r="BU14" t="s">
        <v>396</v>
      </c>
      <c r="BV14" t="s">
        <v>352</v>
      </c>
      <c r="BW14" t="s">
        <v>353</v>
      </c>
      <c r="BX14" t="s">
        <v>354</v>
      </c>
      <c r="BY14" t="s">
        <v>355</v>
      </c>
      <c r="BZ14" t="s">
        <v>356</v>
      </c>
      <c r="CA14" t="s">
        <v>357</v>
      </c>
      <c r="CB14" t="s">
        <v>358</v>
      </c>
      <c r="CC14" t="s">
        <v>357</v>
      </c>
      <c r="CD14" t="s">
        <v>347</v>
      </c>
      <c r="CE14" t="s">
        <v>5</v>
      </c>
      <c r="CF14" t="s">
        <v>453</v>
      </c>
      <c r="CG14" t="s">
        <v>454</v>
      </c>
      <c r="CH14" t="s">
        <v>360</v>
      </c>
      <c r="CI14" t="s">
        <v>360</v>
      </c>
      <c r="CJ14" t="s">
        <v>347</v>
      </c>
      <c r="CK14" t="s">
        <v>5</v>
      </c>
      <c r="CL14" t="s">
        <v>331</v>
      </c>
      <c r="CP14" t="s">
        <v>361</v>
      </c>
      <c r="CQ14" t="s">
        <v>362</v>
      </c>
      <c r="CR14" t="s">
        <v>363</v>
      </c>
      <c r="CS14" t="s">
        <v>364</v>
      </c>
      <c r="CT14" t="s">
        <v>365</v>
      </c>
      <c r="CU14" t="s">
        <v>147</v>
      </c>
      <c r="CV14" t="s">
        <v>366</v>
      </c>
      <c r="CW14" t="s">
        <v>367</v>
      </c>
      <c r="CZ14" t="s">
        <v>370</v>
      </c>
      <c r="DA14" t="s">
        <v>371</v>
      </c>
      <c r="DB14" t="s">
        <v>372</v>
      </c>
      <c r="DC14" t="s">
        <v>361</v>
      </c>
      <c r="DD14" t="s">
        <v>362</v>
      </c>
      <c r="DE14" t="s">
        <v>453</v>
      </c>
      <c r="DF14" t="s">
        <v>454</v>
      </c>
      <c r="DH14" t="s">
        <v>375</v>
      </c>
      <c r="DI14" s="37">
        <v>46100</v>
      </c>
      <c r="DN14" s="37"/>
      <c r="DO14" t="s">
        <v>335</v>
      </c>
      <c r="DP14" t="s">
        <v>336</v>
      </c>
      <c r="DQ14" t="s">
        <v>329</v>
      </c>
      <c r="DR14" t="s">
        <v>376</v>
      </c>
      <c r="DS14" t="s">
        <v>377</v>
      </c>
      <c r="DU14" t="s">
        <v>335</v>
      </c>
      <c r="DV14" t="s">
        <v>336</v>
      </c>
      <c r="DW14" t="s">
        <v>336</v>
      </c>
      <c r="DX14" t="s">
        <v>335</v>
      </c>
      <c r="DY14" t="s">
        <v>336</v>
      </c>
      <c r="DZ14" s="38">
        <v>3090</v>
      </c>
      <c r="EA14" s="38">
        <v>12.875</v>
      </c>
      <c r="EB14" t="s">
        <v>331</v>
      </c>
      <c r="EC14" t="s">
        <v>378</v>
      </c>
      <c r="ED14" t="s">
        <v>379</v>
      </c>
      <c r="EE14" s="38">
        <v>0</v>
      </c>
      <c r="EF14" s="38">
        <v>3090</v>
      </c>
      <c r="EG14" s="38">
        <v>0</v>
      </c>
      <c r="EH14" t="s">
        <v>330</v>
      </c>
      <c r="EL14" t="s">
        <v>550</v>
      </c>
      <c r="EM14" s="38">
        <v>0</v>
      </c>
      <c r="EN14" t="s">
        <v>380</v>
      </c>
      <c r="EO14" t="s">
        <v>381</v>
      </c>
      <c r="EP14" t="s">
        <v>382</v>
      </c>
      <c r="EQ14" t="s">
        <v>349</v>
      </c>
      <c r="ER14" t="s">
        <v>339</v>
      </c>
      <c r="ES14" t="s">
        <v>383</v>
      </c>
      <c r="ET14" t="s">
        <v>384</v>
      </c>
      <c r="EU14" t="s">
        <v>385</v>
      </c>
      <c r="EW14" t="s">
        <v>386</v>
      </c>
      <c r="EX14" t="s">
        <v>331</v>
      </c>
      <c r="FA14" s="38">
        <v>0</v>
      </c>
      <c r="FB14" t="s">
        <v>331</v>
      </c>
      <c r="FD14" t="s">
        <v>331</v>
      </c>
      <c r="FF14" t="s">
        <v>331</v>
      </c>
      <c r="FH14" t="s">
        <v>331</v>
      </c>
      <c r="FJ14" t="s">
        <v>331</v>
      </c>
      <c r="FK14" t="s">
        <v>331</v>
      </c>
      <c r="FL14" t="s">
        <v>330</v>
      </c>
      <c r="FN14" s="37">
        <v>45740</v>
      </c>
      <c r="FO14" t="s">
        <v>587</v>
      </c>
    </row>
    <row r="15" spans="1:171">
      <c r="A15" t="s">
        <v>64</v>
      </c>
      <c r="B15" t="s">
        <v>64</v>
      </c>
      <c r="C15" t="s">
        <v>313</v>
      </c>
      <c r="D15" t="s">
        <v>314</v>
      </c>
      <c r="E15" t="s">
        <v>551</v>
      </c>
      <c r="F15" t="s">
        <v>552</v>
      </c>
      <c r="G15" t="s">
        <v>317</v>
      </c>
      <c r="H15" t="s">
        <v>318</v>
      </c>
      <c r="I15" s="37"/>
      <c r="J15" s="37">
        <v>45637</v>
      </c>
      <c r="K15" s="37">
        <v>45637</v>
      </c>
      <c r="L15" t="s">
        <v>389</v>
      </c>
      <c r="M15" t="s">
        <v>320</v>
      </c>
      <c r="N15" t="s">
        <v>321</v>
      </c>
      <c r="O15" t="s">
        <v>322</v>
      </c>
      <c r="P15" t="s">
        <v>1</v>
      </c>
      <c r="Q15" t="s">
        <v>323</v>
      </c>
      <c r="R15" t="s">
        <v>324</v>
      </c>
      <c r="S15" t="s">
        <v>325</v>
      </c>
      <c r="T15" t="s">
        <v>326</v>
      </c>
      <c r="U15" s="37">
        <v>46023</v>
      </c>
      <c r="V15" s="38">
        <v>5768</v>
      </c>
      <c r="W15" t="s">
        <v>327</v>
      </c>
      <c r="X15" t="s">
        <v>328</v>
      </c>
      <c r="Y15" t="s">
        <v>329</v>
      </c>
      <c r="Z15" s="38">
        <v>0</v>
      </c>
      <c r="AA15" t="s">
        <v>330</v>
      </c>
      <c r="AB15" t="s">
        <v>330</v>
      </c>
      <c r="AC15" t="s">
        <v>330</v>
      </c>
      <c r="AD15" t="s">
        <v>330</v>
      </c>
      <c r="AE15" t="s">
        <v>330</v>
      </c>
      <c r="AF15" t="s">
        <v>330</v>
      </c>
      <c r="AG15" t="s">
        <v>330</v>
      </c>
      <c r="AH15" t="s">
        <v>330</v>
      </c>
      <c r="AI15" t="s">
        <v>330</v>
      </c>
      <c r="AJ15" t="s">
        <v>330</v>
      </c>
      <c r="AK15" t="s">
        <v>331</v>
      </c>
      <c r="AO15" t="s">
        <v>402</v>
      </c>
      <c r="AP15" t="s">
        <v>390</v>
      </c>
      <c r="AQ15" s="37">
        <v>30965</v>
      </c>
      <c r="AR15" t="s">
        <v>334</v>
      </c>
      <c r="AS15" s="38">
        <v>0</v>
      </c>
      <c r="AT15" t="s">
        <v>335</v>
      </c>
      <c r="AU15" t="s">
        <v>336</v>
      </c>
      <c r="AV15" t="s">
        <v>553</v>
      </c>
      <c r="AW15" t="s">
        <v>554</v>
      </c>
      <c r="AX15" t="s">
        <v>547</v>
      </c>
      <c r="AY15" t="s">
        <v>331</v>
      </c>
      <c r="AZ15" t="s">
        <v>331</v>
      </c>
      <c r="BA15" t="s">
        <v>331</v>
      </c>
      <c r="BB15" t="s">
        <v>331</v>
      </c>
      <c r="BC15" t="s">
        <v>339</v>
      </c>
      <c r="BD15" t="s">
        <v>340</v>
      </c>
      <c r="BE15" t="s">
        <v>555</v>
      </c>
      <c r="BF15" t="s">
        <v>556</v>
      </c>
      <c r="BG15" t="s">
        <v>555</v>
      </c>
      <c r="BH15" t="s">
        <v>556</v>
      </c>
      <c r="BI15" t="s">
        <v>557</v>
      </c>
      <c r="BJ15" t="s">
        <v>344</v>
      </c>
      <c r="BK15" t="s">
        <v>345</v>
      </c>
      <c r="BL15" s="37"/>
      <c r="BM15" t="s">
        <v>161</v>
      </c>
      <c r="BN15" t="s">
        <v>346</v>
      </c>
      <c r="BO15" t="s">
        <v>347</v>
      </c>
      <c r="BP15" t="s">
        <v>5</v>
      </c>
      <c r="BQ15" t="s">
        <v>348</v>
      </c>
      <c r="BR15" t="s">
        <v>339</v>
      </c>
      <c r="BS15" t="s">
        <v>349</v>
      </c>
      <c r="BT15" t="s">
        <v>419</v>
      </c>
      <c r="BU15" t="s">
        <v>420</v>
      </c>
      <c r="BV15" t="s">
        <v>352</v>
      </c>
      <c r="BW15" t="s">
        <v>353</v>
      </c>
      <c r="BX15" t="s">
        <v>488</v>
      </c>
      <c r="BY15" t="s">
        <v>489</v>
      </c>
      <c r="BZ15" t="s">
        <v>490</v>
      </c>
      <c r="CA15" t="s">
        <v>491</v>
      </c>
      <c r="CB15" t="s">
        <v>492</v>
      </c>
      <c r="CC15" t="s">
        <v>493</v>
      </c>
      <c r="CD15" t="s">
        <v>347</v>
      </c>
      <c r="CE15" t="s">
        <v>5</v>
      </c>
      <c r="CF15" t="s">
        <v>64</v>
      </c>
      <c r="CG15" t="s">
        <v>65</v>
      </c>
      <c r="CH15" t="s">
        <v>360</v>
      </c>
      <c r="CI15" t="s">
        <v>360</v>
      </c>
      <c r="CJ15" t="s">
        <v>331</v>
      </c>
      <c r="CL15" t="s">
        <v>331</v>
      </c>
      <c r="CP15" t="s">
        <v>361</v>
      </c>
      <c r="CQ15" t="s">
        <v>362</v>
      </c>
      <c r="CR15" t="s">
        <v>363</v>
      </c>
      <c r="CS15" t="s">
        <v>364</v>
      </c>
      <c r="CT15" t="s">
        <v>365</v>
      </c>
      <c r="CU15" t="s">
        <v>147</v>
      </c>
      <c r="CV15" t="s">
        <v>439</v>
      </c>
      <c r="CW15" t="s">
        <v>440</v>
      </c>
      <c r="CZ15" t="s">
        <v>370</v>
      </c>
      <c r="DA15" t="s">
        <v>371</v>
      </c>
      <c r="DB15" t="s">
        <v>372</v>
      </c>
      <c r="DC15" t="s">
        <v>361</v>
      </c>
      <c r="DD15" t="s">
        <v>362</v>
      </c>
      <c r="DE15" t="s">
        <v>331</v>
      </c>
      <c r="DH15" t="s">
        <v>375</v>
      </c>
      <c r="DI15" s="37">
        <v>46100</v>
      </c>
      <c r="DN15" s="37"/>
      <c r="DO15" t="s">
        <v>335</v>
      </c>
      <c r="DP15" t="s">
        <v>336</v>
      </c>
      <c r="DQ15" t="s">
        <v>329</v>
      </c>
      <c r="DR15" t="s">
        <v>376</v>
      </c>
      <c r="DS15" t="s">
        <v>377</v>
      </c>
      <c r="DU15" t="s">
        <v>335</v>
      </c>
      <c r="DV15" t="s">
        <v>336</v>
      </c>
      <c r="DW15" t="s">
        <v>336</v>
      </c>
      <c r="DX15" t="s">
        <v>335</v>
      </c>
      <c r="DY15" t="s">
        <v>336</v>
      </c>
      <c r="DZ15" s="38">
        <v>5768</v>
      </c>
      <c r="EA15" s="38">
        <v>24.033333333333335</v>
      </c>
      <c r="EB15" t="s">
        <v>331</v>
      </c>
      <c r="EC15" t="s">
        <v>378</v>
      </c>
      <c r="ED15" t="s">
        <v>379</v>
      </c>
      <c r="EE15" s="38">
        <v>0</v>
      </c>
      <c r="EF15" s="38">
        <v>5768</v>
      </c>
      <c r="EG15" s="38">
        <v>29</v>
      </c>
      <c r="EH15" t="s">
        <v>330</v>
      </c>
      <c r="EL15" t="s">
        <v>331</v>
      </c>
      <c r="EM15" s="38">
        <v>0</v>
      </c>
      <c r="EN15" t="s">
        <v>380</v>
      </c>
      <c r="EO15" t="s">
        <v>381</v>
      </c>
      <c r="EP15" t="s">
        <v>382</v>
      </c>
      <c r="EQ15" t="s">
        <v>349</v>
      </c>
      <c r="ER15" t="s">
        <v>445</v>
      </c>
      <c r="ES15" t="s">
        <v>446</v>
      </c>
      <c r="ET15" t="s">
        <v>513</v>
      </c>
      <c r="EU15" t="s">
        <v>313</v>
      </c>
      <c r="EW15" t="s">
        <v>386</v>
      </c>
      <c r="EX15" t="s">
        <v>331</v>
      </c>
      <c r="FA15" s="38">
        <v>0</v>
      </c>
      <c r="FB15" t="s">
        <v>331</v>
      </c>
      <c r="FD15" t="s">
        <v>331</v>
      </c>
      <c r="FF15" t="s">
        <v>331</v>
      </c>
      <c r="FH15" t="s">
        <v>331</v>
      </c>
      <c r="FJ15" t="s">
        <v>331</v>
      </c>
      <c r="FK15" t="s">
        <v>331</v>
      </c>
      <c r="FL15" t="s">
        <v>330</v>
      </c>
      <c r="FN15" s="37">
        <v>45637</v>
      </c>
      <c r="FO15" t="s">
        <v>588</v>
      </c>
    </row>
    <row r="16" spans="1:171">
      <c r="A16" t="s">
        <v>77</v>
      </c>
      <c r="B16" t="s">
        <v>77</v>
      </c>
      <c r="C16" t="s">
        <v>313</v>
      </c>
      <c r="D16" t="s">
        <v>314</v>
      </c>
      <c r="E16" t="s">
        <v>558</v>
      </c>
      <c r="F16" t="s">
        <v>559</v>
      </c>
      <c r="G16" t="s">
        <v>317</v>
      </c>
      <c r="H16" t="s">
        <v>318</v>
      </c>
      <c r="I16" s="37"/>
      <c r="J16" s="37">
        <v>45208</v>
      </c>
      <c r="K16" s="37">
        <v>45208</v>
      </c>
      <c r="L16" t="s">
        <v>389</v>
      </c>
      <c r="M16" t="s">
        <v>320</v>
      </c>
      <c r="N16" t="s">
        <v>321</v>
      </c>
      <c r="O16" t="s">
        <v>322</v>
      </c>
      <c r="P16" t="s">
        <v>1</v>
      </c>
      <c r="Q16" t="s">
        <v>323</v>
      </c>
      <c r="R16" t="s">
        <v>324</v>
      </c>
      <c r="S16" t="s">
        <v>331</v>
      </c>
      <c r="U16" s="37">
        <v>46023</v>
      </c>
      <c r="V16" s="38">
        <v>2652</v>
      </c>
      <c r="W16" t="s">
        <v>327</v>
      </c>
      <c r="X16" t="s">
        <v>328</v>
      </c>
      <c r="Y16" t="s">
        <v>329</v>
      </c>
      <c r="Z16" s="38">
        <v>0</v>
      </c>
      <c r="AA16" t="s">
        <v>330</v>
      </c>
      <c r="AB16" t="s">
        <v>330</v>
      </c>
      <c r="AC16" t="s">
        <v>330</v>
      </c>
      <c r="AD16" t="s">
        <v>330</v>
      </c>
      <c r="AE16" t="s">
        <v>330</v>
      </c>
      <c r="AF16" t="s">
        <v>330</v>
      </c>
      <c r="AG16" t="s">
        <v>330</v>
      </c>
      <c r="AH16" t="s">
        <v>330</v>
      </c>
      <c r="AI16" t="s">
        <v>330</v>
      </c>
      <c r="AJ16" t="s">
        <v>330</v>
      </c>
      <c r="AK16" t="s">
        <v>331</v>
      </c>
      <c r="AO16" t="s">
        <v>332</v>
      </c>
      <c r="AP16" t="s">
        <v>390</v>
      </c>
      <c r="AQ16" s="37">
        <v>36368</v>
      </c>
      <c r="AR16" t="s">
        <v>334</v>
      </c>
      <c r="AS16" s="38">
        <v>0</v>
      </c>
      <c r="AT16" t="s">
        <v>335</v>
      </c>
      <c r="AU16" t="s">
        <v>336</v>
      </c>
      <c r="AV16" t="s">
        <v>560</v>
      </c>
      <c r="AW16" t="s">
        <v>554</v>
      </c>
      <c r="AX16" t="s">
        <v>331</v>
      </c>
      <c r="AY16" t="s">
        <v>331</v>
      </c>
      <c r="AZ16" t="s">
        <v>331</v>
      </c>
      <c r="BA16" t="s">
        <v>561</v>
      </c>
      <c r="BB16" t="s">
        <v>331</v>
      </c>
      <c r="BC16" t="s">
        <v>339</v>
      </c>
      <c r="BD16" t="s">
        <v>340</v>
      </c>
      <c r="BE16" t="s">
        <v>485</v>
      </c>
      <c r="BF16" t="s">
        <v>486</v>
      </c>
      <c r="BG16" t="s">
        <v>485</v>
      </c>
      <c r="BH16" t="s">
        <v>486</v>
      </c>
      <c r="BI16" t="s">
        <v>562</v>
      </c>
      <c r="BJ16" t="s">
        <v>344</v>
      </c>
      <c r="BK16" t="s">
        <v>345</v>
      </c>
      <c r="BL16" s="37"/>
      <c r="BM16" t="s">
        <v>161</v>
      </c>
      <c r="BN16" t="s">
        <v>346</v>
      </c>
      <c r="BO16" t="s">
        <v>347</v>
      </c>
      <c r="BP16" t="s">
        <v>5</v>
      </c>
      <c r="BQ16" t="s">
        <v>348</v>
      </c>
      <c r="BR16" t="s">
        <v>339</v>
      </c>
      <c r="BS16" t="s">
        <v>349</v>
      </c>
      <c r="BT16" t="s">
        <v>419</v>
      </c>
      <c r="BU16" t="s">
        <v>420</v>
      </c>
      <c r="BV16" t="s">
        <v>352</v>
      </c>
      <c r="BW16" t="s">
        <v>353</v>
      </c>
      <c r="BX16" t="s">
        <v>563</v>
      </c>
      <c r="BY16" t="s">
        <v>564</v>
      </c>
      <c r="BZ16" t="s">
        <v>490</v>
      </c>
      <c r="CA16" t="s">
        <v>491</v>
      </c>
      <c r="CB16" t="s">
        <v>492</v>
      </c>
      <c r="CC16" t="s">
        <v>493</v>
      </c>
      <c r="CD16" t="s">
        <v>347</v>
      </c>
      <c r="CE16" t="s">
        <v>5</v>
      </c>
      <c r="CF16" t="s">
        <v>77</v>
      </c>
      <c r="CG16" t="s">
        <v>78</v>
      </c>
      <c r="CH16" t="s">
        <v>360</v>
      </c>
      <c r="CI16" t="s">
        <v>360</v>
      </c>
      <c r="CJ16" t="s">
        <v>347</v>
      </c>
      <c r="CK16" t="s">
        <v>5</v>
      </c>
      <c r="CL16" t="s">
        <v>565</v>
      </c>
      <c r="CM16" t="s">
        <v>566</v>
      </c>
      <c r="CP16" t="s">
        <v>361</v>
      </c>
      <c r="CQ16" t="s">
        <v>362</v>
      </c>
      <c r="CR16" t="s">
        <v>363</v>
      </c>
      <c r="CS16" t="s">
        <v>364</v>
      </c>
      <c r="CT16" t="s">
        <v>365</v>
      </c>
      <c r="CU16" t="s">
        <v>147</v>
      </c>
      <c r="CV16" t="s">
        <v>366</v>
      </c>
      <c r="CW16" t="s">
        <v>367</v>
      </c>
      <c r="CZ16" t="s">
        <v>370</v>
      </c>
      <c r="DA16" t="s">
        <v>371</v>
      </c>
      <c r="DB16" t="s">
        <v>372</v>
      </c>
      <c r="DC16" t="s">
        <v>361</v>
      </c>
      <c r="DD16" t="s">
        <v>362</v>
      </c>
      <c r="DE16" t="s">
        <v>373</v>
      </c>
      <c r="DF16" t="s">
        <v>374</v>
      </c>
      <c r="DH16" t="s">
        <v>375</v>
      </c>
      <c r="DI16" s="37">
        <v>46100</v>
      </c>
      <c r="DN16" s="37"/>
      <c r="DO16" t="s">
        <v>335</v>
      </c>
      <c r="DP16" t="s">
        <v>336</v>
      </c>
      <c r="DQ16" t="s">
        <v>329</v>
      </c>
      <c r="DR16" t="s">
        <v>376</v>
      </c>
      <c r="DS16" t="s">
        <v>377</v>
      </c>
      <c r="DU16" t="s">
        <v>335</v>
      </c>
      <c r="DV16" t="s">
        <v>336</v>
      </c>
      <c r="DW16" t="s">
        <v>336</v>
      </c>
      <c r="DX16" t="s">
        <v>335</v>
      </c>
      <c r="DY16" t="s">
        <v>336</v>
      </c>
      <c r="DZ16" s="38">
        <v>2652</v>
      </c>
      <c r="EA16" s="38">
        <v>11.05</v>
      </c>
      <c r="EB16" t="s">
        <v>331</v>
      </c>
      <c r="EC16" t="s">
        <v>378</v>
      </c>
      <c r="ED16" t="s">
        <v>379</v>
      </c>
      <c r="EE16" s="38">
        <v>0</v>
      </c>
      <c r="EF16" s="38">
        <v>2652</v>
      </c>
      <c r="EG16" s="38">
        <v>8</v>
      </c>
      <c r="EH16" t="s">
        <v>330</v>
      </c>
      <c r="EL16" t="s">
        <v>331</v>
      </c>
      <c r="EM16" s="38">
        <v>0</v>
      </c>
      <c r="EN16" t="s">
        <v>380</v>
      </c>
      <c r="EO16" t="s">
        <v>381</v>
      </c>
      <c r="EP16" t="s">
        <v>382</v>
      </c>
      <c r="EQ16" t="s">
        <v>349</v>
      </c>
      <c r="ER16" t="s">
        <v>339</v>
      </c>
      <c r="ES16" t="s">
        <v>383</v>
      </c>
      <c r="ET16" t="s">
        <v>384</v>
      </c>
      <c r="EU16" t="s">
        <v>385</v>
      </c>
      <c r="EW16" t="s">
        <v>386</v>
      </c>
      <c r="EX16" t="s">
        <v>331</v>
      </c>
      <c r="FA16" s="38">
        <v>0</v>
      </c>
      <c r="FB16" t="s">
        <v>331</v>
      </c>
      <c r="FD16" t="s">
        <v>331</v>
      </c>
      <c r="FF16" t="s">
        <v>331</v>
      </c>
      <c r="FH16" t="s">
        <v>331</v>
      </c>
      <c r="FJ16" t="s">
        <v>331</v>
      </c>
      <c r="FK16" t="s">
        <v>331</v>
      </c>
      <c r="FL16" t="s">
        <v>330</v>
      </c>
      <c r="FN16" s="37">
        <v>45208</v>
      </c>
      <c r="FO16" t="s">
        <v>589</v>
      </c>
    </row>
    <row r="17" spans="1:171">
      <c r="A17" t="s">
        <v>80</v>
      </c>
      <c r="B17" t="s">
        <v>80</v>
      </c>
      <c r="C17" t="s">
        <v>313</v>
      </c>
      <c r="D17" t="s">
        <v>314</v>
      </c>
      <c r="E17" t="s">
        <v>514</v>
      </c>
      <c r="F17" t="s">
        <v>515</v>
      </c>
      <c r="G17" t="s">
        <v>516</v>
      </c>
      <c r="H17" t="s">
        <v>517</v>
      </c>
      <c r="I17" s="37">
        <v>51136</v>
      </c>
      <c r="J17" s="37">
        <v>45740</v>
      </c>
      <c r="K17" s="37">
        <v>45740</v>
      </c>
      <c r="L17" t="s">
        <v>518</v>
      </c>
      <c r="M17" t="s">
        <v>519</v>
      </c>
      <c r="N17" t="s">
        <v>520</v>
      </c>
      <c r="O17" t="s">
        <v>521</v>
      </c>
      <c r="P17" t="s">
        <v>522</v>
      </c>
      <c r="Q17" t="s">
        <v>331</v>
      </c>
      <c r="S17" t="s">
        <v>325</v>
      </c>
      <c r="T17" t="s">
        <v>326</v>
      </c>
      <c r="U17" s="37">
        <v>45740</v>
      </c>
      <c r="V17" s="38">
        <v>1130</v>
      </c>
      <c r="W17" t="s">
        <v>327</v>
      </c>
      <c r="X17" t="s">
        <v>328</v>
      </c>
      <c r="Y17" t="s">
        <v>329</v>
      </c>
      <c r="Z17" s="38">
        <v>0</v>
      </c>
      <c r="AA17" t="s">
        <v>330</v>
      </c>
      <c r="AB17" t="s">
        <v>330</v>
      </c>
      <c r="AC17" t="s">
        <v>330</v>
      </c>
      <c r="AD17" t="s">
        <v>330</v>
      </c>
      <c r="AE17" t="s">
        <v>330</v>
      </c>
      <c r="AF17" t="s">
        <v>330</v>
      </c>
      <c r="AG17" t="s">
        <v>330</v>
      </c>
      <c r="AH17" t="s">
        <v>330</v>
      </c>
      <c r="AI17" t="s">
        <v>330</v>
      </c>
      <c r="AJ17" t="s">
        <v>330</v>
      </c>
      <c r="AK17" t="s">
        <v>331</v>
      </c>
      <c r="AO17" t="s">
        <v>332</v>
      </c>
      <c r="AP17" t="s">
        <v>390</v>
      </c>
      <c r="AQ17" s="37">
        <v>38104</v>
      </c>
      <c r="AR17" t="s">
        <v>334</v>
      </c>
      <c r="AS17" s="38">
        <v>0</v>
      </c>
      <c r="AT17" t="s">
        <v>335</v>
      </c>
      <c r="AU17" t="s">
        <v>336</v>
      </c>
      <c r="AV17" t="s">
        <v>331</v>
      </c>
      <c r="AW17" t="s">
        <v>481</v>
      </c>
      <c r="AX17" t="s">
        <v>523</v>
      </c>
      <c r="AY17" t="s">
        <v>481</v>
      </c>
      <c r="AZ17" t="s">
        <v>331</v>
      </c>
      <c r="BA17" t="s">
        <v>331</v>
      </c>
      <c r="BB17" t="s">
        <v>331</v>
      </c>
      <c r="BC17" t="s">
        <v>339</v>
      </c>
      <c r="BD17" t="s">
        <v>340</v>
      </c>
      <c r="BE17" t="s">
        <v>445</v>
      </c>
      <c r="BF17" t="s">
        <v>446</v>
      </c>
      <c r="BG17" t="s">
        <v>445</v>
      </c>
      <c r="BH17" t="s">
        <v>446</v>
      </c>
      <c r="BI17" t="s">
        <v>590</v>
      </c>
      <c r="BJ17" t="s">
        <v>344</v>
      </c>
      <c r="BK17" t="s">
        <v>345</v>
      </c>
      <c r="BL17" s="37"/>
      <c r="BM17" t="s">
        <v>161</v>
      </c>
      <c r="BN17" t="s">
        <v>346</v>
      </c>
      <c r="BO17" t="s">
        <v>347</v>
      </c>
      <c r="BP17" t="s">
        <v>5</v>
      </c>
      <c r="BQ17" t="s">
        <v>348</v>
      </c>
      <c r="BR17" t="s">
        <v>339</v>
      </c>
      <c r="BS17" t="s">
        <v>349</v>
      </c>
      <c r="BT17" t="s">
        <v>347</v>
      </c>
      <c r="BU17" t="s">
        <v>5</v>
      </c>
      <c r="BV17" t="s">
        <v>352</v>
      </c>
      <c r="BW17" t="s">
        <v>353</v>
      </c>
      <c r="BX17" t="s">
        <v>524</v>
      </c>
      <c r="BY17" t="s">
        <v>525</v>
      </c>
      <c r="BZ17" t="s">
        <v>526</v>
      </c>
      <c r="CA17" t="s">
        <v>454</v>
      </c>
      <c r="CB17" t="s">
        <v>527</v>
      </c>
      <c r="CC17" t="s">
        <v>528</v>
      </c>
      <c r="CD17" t="s">
        <v>347</v>
      </c>
      <c r="CE17" t="s">
        <v>5</v>
      </c>
      <c r="CF17" t="s">
        <v>453</v>
      </c>
      <c r="CG17" t="s">
        <v>454</v>
      </c>
      <c r="CH17" t="s">
        <v>360</v>
      </c>
      <c r="CI17" t="s">
        <v>360</v>
      </c>
      <c r="CJ17" t="s">
        <v>347</v>
      </c>
      <c r="CK17" t="s">
        <v>5</v>
      </c>
      <c r="CL17" t="s">
        <v>331</v>
      </c>
      <c r="CP17" t="s">
        <v>361</v>
      </c>
      <c r="CQ17" t="s">
        <v>362</v>
      </c>
      <c r="CR17" t="s">
        <v>363</v>
      </c>
      <c r="CS17" t="s">
        <v>364</v>
      </c>
      <c r="CT17" t="s">
        <v>365</v>
      </c>
      <c r="CU17" t="s">
        <v>147</v>
      </c>
      <c r="CV17" t="s">
        <v>331</v>
      </c>
      <c r="CW17" t="s">
        <v>331</v>
      </c>
      <c r="CZ17" t="s">
        <v>370</v>
      </c>
      <c r="DA17" t="s">
        <v>371</v>
      </c>
      <c r="DB17" t="s">
        <v>372</v>
      </c>
      <c r="DC17" t="s">
        <v>361</v>
      </c>
      <c r="DD17" t="s">
        <v>362</v>
      </c>
      <c r="DE17" t="s">
        <v>453</v>
      </c>
      <c r="DF17" t="s">
        <v>454</v>
      </c>
      <c r="DH17" t="s">
        <v>375</v>
      </c>
      <c r="DI17" s="37">
        <v>45772</v>
      </c>
      <c r="DN17" s="37"/>
      <c r="DO17" t="s">
        <v>335</v>
      </c>
      <c r="DP17" t="s">
        <v>336</v>
      </c>
      <c r="DQ17" t="s">
        <v>329</v>
      </c>
      <c r="DR17" t="s">
        <v>376</v>
      </c>
      <c r="DS17" t="s">
        <v>377</v>
      </c>
      <c r="DU17" t="s">
        <v>335</v>
      </c>
      <c r="DV17" t="s">
        <v>336</v>
      </c>
      <c r="DW17" t="s">
        <v>336</v>
      </c>
      <c r="DX17" t="s">
        <v>335</v>
      </c>
      <c r="DY17" t="s">
        <v>336</v>
      </c>
      <c r="DZ17" s="38">
        <v>1130</v>
      </c>
      <c r="EA17" s="38">
        <v>4.708333333333333</v>
      </c>
      <c r="EB17" t="s">
        <v>331</v>
      </c>
      <c r="EC17" t="s">
        <v>378</v>
      </c>
      <c r="ED17" t="s">
        <v>379</v>
      </c>
      <c r="EE17" s="38">
        <v>0</v>
      </c>
      <c r="EF17" s="38">
        <v>1130</v>
      </c>
      <c r="EG17" s="38">
        <v>0</v>
      </c>
      <c r="EH17" t="s">
        <v>330</v>
      </c>
      <c r="EL17" t="s">
        <v>529</v>
      </c>
      <c r="EM17" s="38">
        <v>0</v>
      </c>
      <c r="EN17" t="s">
        <v>380</v>
      </c>
      <c r="EO17" t="s">
        <v>381</v>
      </c>
      <c r="EP17" t="s">
        <v>382</v>
      </c>
      <c r="EQ17" t="s">
        <v>349</v>
      </c>
      <c r="ER17" t="s">
        <v>445</v>
      </c>
      <c r="ES17" t="s">
        <v>446</v>
      </c>
      <c r="ET17" t="s">
        <v>513</v>
      </c>
      <c r="EU17" t="s">
        <v>313</v>
      </c>
      <c r="EW17" t="s">
        <v>386</v>
      </c>
      <c r="EX17" t="s">
        <v>331</v>
      </c>
      <c r="FA17" s="38">
        <v>0</v>
      </c>
      <c r="FB17" t="s">
        <v>331</v>
      </c>
      <c r="FD17" t="s">
        <v>331</v>
      </c>
      <c r="FF17" t="s">
        <v>331</v>
      </c>
      <c r="FH17" t="s">
        <v>331</v>
      </c>
      <c r="FJ17" t="s">
        <v>331</v>
      </c>
      <c r="FK17" t="s">
        <v>331</v>
      </c>
      <c r="FL17" t="s">
        <v>330</v>
      </c>
      <c r="FN17" s="37"/>
      <c r="FO17" t="s">
        <v>587</v>
      </c>
    </row>
    <row r="18" spans="1:171">
      <c r="A18" t="s">
        <v>591</v>
      </c>
      <c r="B18" t="s">
        <v>591</v>
      </c>
      <c r="C18" t="s">
        <v>313</v>
      </c>
      <c r="D18" t="s">
        <v>314</v>
      </c>
      <c r="E18" t="s">
        <v>592</v>
      </c>
      <c r="F18" t="s">
        <v>593</v>
      </c>
      <c r="G18" t="s">
        <v>511</v>
      </c>
      <c r="H18" t="s">
        <v>594</v>
      </c>
      <c r="I18" s="66">
        <v>46518</v>
      </c>
      <c r="J18" s="66">
        <v>46153</v>
      </c>
      <c r="K18" s="66">
        <v>46153</v>
      </c>
      <c r="L18" t="s">
        <v>518</v>
      </c>
      <c r="M18" t="s">
        <v>519</v>
      </c>
      <c r="N18" t="s">
        <v>520</v>
      </c>
      <c r="O18" t="s">
        <v>521</v>
      </c>
      <c r="P18" t="s">
        <v>522</v>
      </c>
      <c r="Q18" t="s">
        <v>323</v>
      </c>
      <c r="R18" t="s">
        <v>324</v>
      </c>
      <c r="S18" t="s">
        <v>325</v>
      </c>
      <c r="T18" t="s">
        <v>326</v>
      </c>
      <c r="U18" s="66">
        <v>46153</v>
      </c>
      <c r="V18" s="38">
        <v>1130</v>
      </c>
      <c r="W18" t="s">
        <v>327</v>
      </c>
      <c r="X18" t="s">
        <v>328</v>
      </c>
      <c r="Y18" t="s">
        <v>329</v>
      </c>
      <c r="Z18" s="38">
        <v>0</v>
      </c>
      <c r="AA18" t="s">
        <v>330</v>
      </c>
      <c r="AB18" t="s">
        <v>330</v>
      </c>
      <c r="AC18" t="s">
        <v>330</v>
      </c>
      <c r="AD18" t="s">
        <v>330</v>
      </c>
      <c r="AE18" t="s">
        <v>330</v>
      </c>
      <c r="AF18" t="s">
        <v>330</v>
      </c>
      <c r="AG18" t="s">
        <v>330</v>
      </c>
      <c r="AH18" t="s">
        <v>330</v>
      </c>
      <c r="AI18" t="s">
        <v>330</v>
      </c>
      <c r="AJ18" t="s">
        <v>330</v>
      </c>
      <c r="AK18" t="s">
        <v>331</v>
      </c>
      <c r="AO18" t="s">
        <v>332</v>
      </c>
      <c r="AP18" t="s">
        <v>390</v>
      </c>
      <c r="AQ18" s="66">
        <v>37410</v>
      </c>
      <c r="AR18" t="s">
        <v>334</v>
      </c>
      <c r="AS18" s="38">
        <v>0</v>
      </c>
      <c r="AT18" t="s">
        <v>335</v>
      </c>
      <c r="AU18" t="s">
        <v>336</v>
      </c>
      <c r="AV18" t="s">
        <v>595</v>
      </c>
      <c r="AW18" t="s">
        <v>523</v>
      </c>
      <c r="AX18" t="s">
        <v>596</v>
      </c>
      <c r="AY18" t="s">
        <v>331</v>
      </c>
      <c r="AZ18" t="s">
        <v>331</v>
      </c>
      <c r="BA18" t="s">
        <v>331</v>
      </c>
      <c r="BB18" t="s">
        <v>331</v>
      </c>
      <c r="BC18" t="s">
        <v>339</v>
      </c>
      <c r="BD18" t="s">
        <v>340</v>
      </c>
      <c r="BE18" t="s">
        <v>445</v>
      </c>
      <c r="BF18" t="s">
        <v>446</v>
      </c>
      <c r="BG18" t="s">
        <v>445</v>
      </c>
      <c r="BH18" t="s">
        <v>446</v>
      </c>
      <c r="BI18" t="s">
        <v>597</v>
      </c>
      <c r="BJ18" t="s">
        <v>344</v>
      </c>
      <c r="BK18" t="s">
        <v>345</v>
      </c>
      <c r="BL18" s="66"/>
      <c r="BM18" t="s">
        <v>161</v>
      </c>
      <c r="BN18" t="s">
        <v>346</v>
      </c>
      <c r="BO18" t="s">
        <v>347</v>
      </c>
      <c r="BP18" t="s">
        <v>5</v>
      </c>
      <c r="BQ18" t="s">
        <v>348</v>
      </c>
      <c r="BR18" t="s">
        <v>339</v>
      </c>
      <c r="BS18" t="s">
        <v>349</v>
      </c>
      <c r="BT18" t="s">
        <v>347</v>
      </c>
      <c r="BU18" t="s">
        <v>5</v>
      </c>
      <c r="BV18" t="s">
        <v>352</v>
      </c>
      <c r="BW18" t="s">
        <v>353</v>
      </c>
      <c r="BX18" t="s">
        <v>524</v>
      </c>
      <c r="BY18" t="s">
        <v>525</v>
      </c>
      <c r="BZ18" t="s">
        <v>526</v>
      </c>
      <c r="CA18" t="s">
        <v>454</v>
      </c>
      <c r="CB18" t="s">
        <v>527</v>
      </c>
      <c r="CC18" t="s">
        <v>528</v>
      </c>
      <c r="CD18" t="s">
        <v>347</v>
      </c>
      <c r="CE18" t="s">
        <v>5</v>
      </c>
      <c r="CF18" t="s">
        <v>453</v>
      </c>
      <c r="CG18" t="s">
        <v>454</v>
      </c>
      <c r="CH18" t="s">
        <v>360</v>
      </c>
      <c r="CI18" t="s">
        <v>360</v>
      </c>
      <c r="CJ18" t="s">
        <v>347</v>
      </c>
      <c r="CK18" t="s">
        <v>5</v>
      </c>
      <c r="CL18" t="s">
        <v>598</v>
      </c>
      <c r="CM18" t="s">
        <v>599</v>
      </c>
      <c r="CP18" t="s">
        <v>361</v>
      </c>
      <c r="CQ18" t="s">
        <v>362</v>
      </c>
      <c r="CR18" t="s">
        <v>363</v>
      </c>
      <c r="CS18" t="s">
        <v>364</v>
      </c>
      <c r="CT18" t="s">
        <v>365</v>
      </c>
      <c r="CU18" t="s">
        <v>147</v>
      </c>
      <c r="CV18" t="s">
        <v>331</v>
      </c>
      <c r="CW18" t="s">
        <v>331</v>
      </c>
      <c r="CZ18" t="s">
        <v>370</v>
      </c>
      <c r="DA18" t="s">
        <v>371</v>
      </c>
      <c r="DB18" t="s">
        <v>372</v>
      </c>
      <c r="DC18" t="s">
        <v>361</v>
      </c>
      <c r="DD18" t="s">
        <v>362</v>
      </c>
      <c r="DE18" t="s">
        <v>453</v>
      </c>
      <c r="DF18" t="s">
        <v>454</v>
      </c>
      <c r="DH18" t="s">
        <v>375</v>
      </c>
      <c r="DI18" s="66">
        <v>46164</v>
      </c>
      <c r="DN18" s="66"/>
      <c r="DO18" t="s">
        <v>335</v>
      </c>
      <c r="DP18" t="s">
        <v>336</v>
      </c>
      <c r="DQ18" t="s">
        <v>331</v>
      </c>
      <c r="DR18" t="s">
        <v>376</v>
      </c>
      <c r="DS18" t="s">
        <v>377</v>
      </c>
      <c r="DU18" t="s">
        <v>600</v>
      </c>
      <c r="DV18" t="s">
        <v>601</v>
      </c>
      <c r="DW18" t="s">
        <v>336</v>
      </c>
      <c r="DX18" t="s">
        <v>335</v>
      </c>
      <c r="DY18" t="s">
        <v>336</v>
      </c>
      <c r="DZ18" s="38">
        <v>1130</v>
      </c>
      <c r="EA18" s="38">
        <v>4.708333333333333</v>
      </c>
      <c r="EB18" t="s">
        <v>331</v>
      </c>
      <c r="EC18" t="s">
        <v>378</v>
      </c>
      <c r="ED18" t="s">
        <v>379</v>
      </c>
      <c r="EE18" s="38">
        <v>0</v>
      </c>
      <c r="EF18" s="38">
        <v>1130</v>
      </c>
      <c r="EG18" s="38">
        <v>0</v>
      </c>
      <c r="EH18" t="s">
        <v>330</v>
      </c>
      <c r="EL18" t="s">
        <v>331</v>
      </c>
      <c r="EM18" s="38">
        <v>0</v>
      </c>
      <c r="EN18" t="s">
        <v>380</v>
      </c>
      <c r="EO18" t="s">
        <v>381</v>
      </c>
      <c r="EP18" t="s">
        <v>382</v>
      </c>
      <c r="EQ18" t="s">
        <v>349</v>
      </c>
      <c r="ER18" t="s">
        <v>339</v>
      </c>
      <c r="ES18" t="s">
        <v>383</v>
      </c>
      <c r="ET18" t="s">
        <v>384</v>
      </c>
      <c r="EU18" t="s">
        <v>385</v>
      </c>
      <c r="EW18" t="s">
        <v>386</v>
      </c>
      <c r="EX18" t="s">
        <v>331</v>
      </c>
      <c r="FA18" s="38">
        <v>0</v>
      </c>
      <c r="FB18" t="s">
        <v>331</v>
      </c>
      <c r="FD18" t="s">
        <v>331</v>
      </c>
      <c r="FF18" t="s">
        <v>331</v>
      </c>
      <c r="FH18" t="s">
        <v>331</v>
      </c>
      <c r="FJ18" t="s">
        <v>331</v>
      </c>
      <c r="FK18" t="s">
        <v>331</v>
      </c>
      <c r="FL18" t="s">
        <v>331</v>
      </c>
      <c r="FN18" s="66"/>
      <c r="FO18" t="s">
        <v>602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746485-dadf-402b-946d-670a8d5419c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526ECBB2595046A1C872549E0FCC00" ma:contentTypeVersion="18" ma:contentTypeDescription="Create a new document." ma:contentTypeScope="" ma:versionID="47ec6059f4bd9e03978e7c4494a2d022">
  <xsd:schema xmlns:xsd="http://www.w3.org/2001/XMLSchema" xmlns:xs="http://www.w3.org/2001/XMLSchema" xmlns:p="http://schemas.microsoft.com/office/2006/metadata/properties" xmlns:ns3="45746485-dadf-402b-946d-670a8d5419c5" xmlns:ns4="3144bafa-e542-4cda-980a-0dcf7db8d145" targetNamespace="http://schemas.microsoft.com/office/2006/metadata/properties" ma:root="true" ma:fieldsID="ba14471d06b067e3716acf79f7203986" ns3:_="" ns4:_="">
    <xsd:import namespace="45746485-dadf-402b-946d-670a8d5419c5"/>
    <xsd:import namespace="3144bafa-e542-4cda-980a-0dcf7db8d1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46485-dadf-402b-946d-670a8d5419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4bafa-e542-4cda-980a-0dcf7db8d14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956B3-CE36-4911-8C78-281CF57113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E7E3D2-6B2A-409C-9F70-ED5060252723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3144bafa-e542-4cda-980a-0dcf7db8d145"/>
    <ds:schemaRef ds:uri="45746485-dadf-402b-946d-670a8d5419c5"/>
  </ds:schemaRefs>
</ds:datastoreItem>
</file>

<file path=customXml/itemProps3.xml><?xml version="1.0" encoding="utf-8"?>
<ds:datastoreItem xmlns:ds="http://schemas.openxmlformats.org/officeDocument/2006/customXml" ds:itemID="{9C8EA648-C4E2-42AF-BDDB-D64ED32125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746485-dadf-402b-946d-670a8d5419c5"/>
    <ds:schemaRef ds:uri="3144bafa-e542-4cda-980a-0dcf7db8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18</vt:i4>
      </vt:variant>
    </vt:vector>
  </HeadingPairs>
  <TitlesOfParts>
    <vt:vector size="40" baseType="lpstr">
      <vt:lpstr>PS1 (17)</vt:lpstr>
      <vt:lpstr>PS1 (16)</vt:lpstr>
      <vt:lpstr>PS1 (15)</vt:lpstr>
      <vt:lpstr>PS1 (14)</vt:lpstr>
      <vt:lpstr>PS1 (13)</vt:lpstr>
      <vt:lpstr>PS1 (12)</vt:lpstr>
      <vt:lpstr>PS1 (11)</vt:lpstr>
      <vt:lpstr>PS1 (10)</vt:lpstr>
      <vt:lpstr>PS1 (9)</vt:lpstr>
      <vt:lpstr>PS1 (8)</vt:lpstr>
      <vt:lpstr>PS1 (7)</vt:lpstr>
      <vt:lpstr>PS1 (6)</vt:lpstr>
      <vt:lpstr>PS1 (5)</vt:lpstr>
      <vt:lpstr>PS1 (4)</vt:lpstr>
      <vt:lpstr>PS1 (3)</vt:lpstr>
      <vt:lpstr>PS1 (2)</vt:lpstr>
      <vt:lpstr>PS1</vt:lpstr>
      <vt:lpstr>Dev</vt:lpstr>
      <vt:lpstr>Detallado</vt:lpstr>
      <vt:lpstr>Datos</vt:lpstr>
      <vt:lpstr>ESSALUD</vt:lpstr>
      <vt:lpstr>BD Total</vt:lpstr>
      <vt:lpstr>'PS1'!Área_de_impresión</vt:lpstr>
      <vt:lpstr>'PS1 (10)'!Área_de_impresión</vt:lpstr>
      <vt:lpstr>'PS1 (11)'!Área_de_impresión</vt:lpstr>
      <vt:lpstr>'PS1 (12)'!Área_de_impresión</vt:lpstr>
      <vt:lpstr>'PS1 (13)'!Área_de_impresión</vt:lpstr>
      <vt:lpstr>'PS1 (14)'!Área_de_impresión</vt:lpstr>
      <vt:lpstr>'PS1 (15)'!Área_de_impresión</vt:lpstr>
      <vt:lpstr>'PS1 (16)'!Área_de_impresión</vt:lpstr>
      <vt:lpstr>'PS1 (17)'!Área_de_impresión</vt:lpstr>
      <vt:lpstr>'PS1 (2)'!Área_de_impresión</vt:lpstr>
      <vt:lpstr>'PS1 (3)'!Área_de_impresión</vt:lpstr>
      <vt:lpstr>'PS1 (4)'!Área_de_impresión</vt:lpstr>
      <vt:lpstr>'PS1 (5)'!Área_de_impresión</vt:lpstr>
      <vt:lpstr>'PS1 (6)'!Área_de_impresión</vt:lpstr>
      <vt:lpstr>'PS1 (7)'!Área_de_impresión</vt:lpstr>
      <vt:lpstr>'PS1 (8)'!Área_de_impresión</vt:lpstr>
      <vt:lpstr>'PS1 (9)'!Área_de_impresión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Arambulo</dc:creator>
  <cp:keywords/>
  <dc:description/>
  <cp:lastModifiedBy>Cristian Parada</cp:lastModifiedBy>
  <cp:revision/>
  <cp:lastPrinted>2026-06-02T00:26:27Z</cp:lastPrinted>
  <dcterms:created xsi:type="dcterms:W3CDTF">2022-07-26T22:34:53Z</dcterms:created>
  <dcterms:modified xsi:type="dcterms:W3CDTF">2026-06-22T17:19:20Z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0x0101002E526ECBB2595046A1C872549E0FCC00</vt:lpwstr>
  </property>
</Properties>
</file>